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盾构相关规范\"/>
    </mc:Choice>
  </mc:AlternateContent>
  <xr:revisionPtr revIDLastSave="0" documentId="13_ncr:1_{CA8BCDEB-CA68-4DAF-8AB8-5EB35066F585}" xr6:coauthVersionLast="47" xr6:coauthVersionMax="47" xr10:uidLastSave="{00000000-0000-0000-0000-000000000000}"/>
  <bookViews>
    <workbookView xWindow="1248" yWindow="4044" windowWidth="23040" windowHeight="12120" activeTab="2" xr2:uid="{00000000-000D-0000-FFFF-FFFF00000000}"/>
  </bookViews>
  <sheets>
    <sheet name="盾构相关标准汇总" sheetId="2" r:id="rId1"/>
    <sheet name="预制混凝土相关国际标准" sheetId="3" r:id="rId2"/>
    <sheet name="土建相关标准" sheetId="4" r:id="rId3"/>
    <sheet name="部分下载地址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4" i="2" l="1"/>
  <c r="B55" i="2"/>
  <c r="B56" i="2"/>
  <c r="B57" i="2"/>
  <c r="B58" i="2"/>
  <c r="B59" i="2"/>
  <c r="B60" i="2"/>
  <c r="B61" i="2"/>
  <c r="B62" i="2"/>
  <c r="B63" i="2"/>
  <c r="B64" i="2"/>
  <c r="B54" i="2"/>
  <c r="B51" i="2"/>
  <c r="B52" i="2"/>
  <c r="B53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35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1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2" i="2"/>
</calcChain>
</file>

<file path=xl/sharedStrings.xml><?xml version="1.0" encoding="utf-8"?>
<sst xmlns="http://schemas.openxmlformats.org/spreadsheetml/2006/main" count="516" uniqueCount="328">
  <si>
    <t>序号</t>
    <phoneticPr fontId="1" type="noConversion"/>
  </si>
  <si>
    <t>文件名</t>
    <phoneticPr fontId="1" type="noConversion"/>
  </si>
  <si>
    <t>资料来源</t>
    <phoneticPr fontId="1" type="noConversion"/>
  </si>
  <si>
    <t>盾构隧道工程设计标准</t>
    <phoneticPr fontId="1" type="noConversion"/>
  </si>
  <si>
    <t>编号</t>
    <phoneticPr fontId="1" type="noConversion"/>
  </si>
  <si>
    <t>是否已下载</t>
    <phoneticPr fontId="1" type="noConversion"/>
  </si>
  <si>
    <t>GB/T51438-2021</t>
    <phoneticPr fontId="1" type="noConversion"/>
  </si>
  <si>
    <t>https://www.mohurd.gov.cn/gongkai/fdzdgknr/zfhcxjsbwj/202110/20211025_762616.html</t>
    <phoneticPr fontId="1" type="noConversion"/>
  </si>
  <si>
    <t>盾构法隧道施工及验收规范</t>
    <phoneticPr fontId="1" type="noConversion"/>
  </si>
  <si>
    <t>GB50446-2017</t>
    <phoneticPr fontId="1" type="noConversion"/>
  </si>
  <si>
    <t>盾构法开仓及气压作业技术规范</t>
    <phoneticPr fontId="1" type="noConversion"/>
  </si>
  <si>
    <t>CJJ217-2014</t>
    <phoneticPr fontId="1" type="noConversion"/>
  </si>
  <si>
    <t>√</t>
    <phoneticPr fontId="1" type="noConversion"/>
  </si>
  <si>
    <t>盾构可切削混凝土配筋技术规程</t>
    <phoneticPr fontId="1" type="noConversion"/>
  </si>
  <si>
    <t>CJJ/T192-2012</t>
    <phoneticPr fontId="1" type="noConversion"/>
  </si>
  <si>
    <t>盾构隧道管片质量检测技术标准</t>
    <phoneticPr fontId="1" type="noConversion"/>
  </si>
  <si>
    <t>φ5.5m～φ7m土压平衡盾构机（软土）</t>
    <phoneticPr fontId="1" type="noConversion"/>
  </si>
  <si>
    <t>预拌水泥基盾构注浆材料应用技术规程</t>
    <phoneticPr fontId="1" type="noConversion"/>
  </si>
  <si>
    <t>T/TBMA 008-2021</t>
    <phoneticPr fontId="1" type="noConversion"/>
  </si>
  <si>
    <t>地铁隧道土压平衡盾构机应用技术标准</t>
    <phoneticPr fontId="1" type="noConversion"/>
  </si>
  <si>
    <t>智能化盾构导向系统技术要求</t>
    <phoneticPr fontId="1" type="noConversion"/>
  </si>
  <si>
    <t>全断面隧道掘进机 复合式盾构机</t>
    <phoneticPr fontId="1" type="noConversion"/>
  </si>
  <si>
    <t>智能盾构大数据平台 掘进管理系统技术要求</t>
    <phoneticPr fontId="1" type="noConversion"/>
  </si>
  <si>
    <t>地铁盾构法隧道施工技术标准</t>
    <phoneticPr fontId="1" type="noConversion"/>
  </si>
  <si>
    <t>盾构法隧道修复加固工程施工质量验收规范</t>
    <phoneticPr fontId="1" type="noConversion"/>
  </si>
  <si>
    <t>标准属性</t>
    <phoneticPr fontId="1" type="noConversion"/>
  </si>
  <si>
    <t>国家标准</t>
    <phoneticPr fontId="1" type="noConversion"/>
  </si>
  <si>
    <t>TB 10181-2017</t>
    <phoneticPr fontId="1" type="noConversion"/>
  </si>
  <si>
    <t>团体标准</t>
    <phoneticPr fontId="1" type="noConversion"/>
  </si>
  <si>
    <t>国家标准</t>
    <phoneticPr fontId="1" type="noConversion"/>
  </si>
  <si>
    <t>团体标准</t>
    <phoneticPr fontId="1" type="noConversion"/>
  </si>
  <si>
    <t>地方标准</t>
    <phoneticPr fontId="1" type="noConversion"/>
  </si>
  <si>
    <r>
      <t>行业</t>
    </r>
    <r>
      <rPr>
        <sz val="11"/>
        <color theme="1"/>
        <rFont val="Arial"/>
        <family val="2"/>
      </rPr>
      <t>标准</t>
    </r>
    <phoneticPr fontId="1" type="noConversion"/>
  </si>
  <si>
    <t>铁路隧道盾构法技术规程</t>
    <phoneticPr fontId="1" type="noConversion"/>
  </si>
  <si>
    <t>CJ/T 446-2014</t>
    <phoneticPr fontId="1" type="noConversion"/>
  </si>
  <si>
    <t>盾构施工专用环保型泡沫剂</t>
    <phoneticPr fontId="1" type="noConversion"/>
  </si>
  <si>
    <t>泥水平衡盾构机</t>
    <phoneticPr fontId="1" type="noConversion"/>
  </si>
  <si>
    <t>CJJ/T164-2011</t>
    <phoneticPr fontId="1" type="noConversion"/>
  </si>
  <si>
    <t>CJ／T284－2008</t>
    <phoneticPr fontId="1" type="noConversion"/>
  </si>
  <si>
    <t>盾构始发与接收冻结法施工及验收规范</t>
    <phoneticPr fontId="1" type="noConversion"/>
  </si>
  <si>
    <t>盾构管片橡胶密封技术规范</t>
    <phoneticPr fontId="1" type="noConversion"/>
  </si>
  <si>
    <t>地铁盾构隧道预制管片施工及验收标准</t>
    <phoneticPr fontId="1" type="noConversion"/>
  </si>
  <si>
    <t>地方标准</t>
    <phoneticPr fontId="1" type="noConversion"/>
  </si>
  <si>
    <t>湖南省盾构渣土处理技术标准</t>
    <phoneticPr fontId="1" type="noConversion"/>
  </si>
  <si>
    <t>https://bbs.biaozhuns.com/forum.php?mod=viewthread&amp;tid=291287&amp;highlight=%E7%9B%BE%E6%9E%84</t>
    <phoneticPr fontId="1" type="noConversion"/>
  </si>
  <si>
    <r>
      <t>盾构</t>
    </r>
    <r>
      <rPr>
        <sz val="11"/>
        <color theme="1"/>
        <rFont val="等线"/>
        <family val="2"/>
        <scheme val="minor"/>
      </rPr>
      <t>法隧道同步注浆材料</t>
    </r>
    <phoneticPr fontId="1" type="noConversion"/>
  </si>
  <si>
    <t>DG/TJ 08-2063-2021</t>
    <phoneticPr fontId="1" type="noConversion"/>
  </si>
  <si>
    <t>NB/T 10221-2019</t>
    <phoneticPr fontId="1" type="noConversion"/>
  </si>
  <si>
    <t>DB51/T 2841-2021</t>
    <phoneticPr fontId="1" type="noConversion"/>
  </si>
  <si>
    <t>DBJ61/T 47-2014</t>
    <phoneticPr fontId="1" type="noConversion"/>
  </si>
  <si>
    <t>DG/TJ 08-2041-2021</t>
    <phoneticPr fontId="1" type="noConversion"/>
  </si>
  <si>
    <t>DB11/T 1843-2021</t>
    <phoneticPr fontId="1" type="noConversion"/>
  </si>
  <si>
    <t>JB/T 13707-2019</t>
    <phoneticPr fontId="1" type="noConversion"/>
  </si>
  <si>
    <t>T/SCTA 012-2020</t>
    <phoneticPr fontId="1" type="noConversion"/>
  </si>
  <si>
    <t>T/SCTA 011-2020</t>
    <phoneticPr fontId="1" type="noConversion"/>
  </si>
  <si>
    <t>T/SCMES 7-2020</t>
    <phoneticPr fontId="1" type="noConversion"/>
  </si>
  <si>
    <t>GB/T 38901-2020</t>
    <phoneticPr fontId="1" type="noConversion"/>
  </si>
  <si>
    <t>DBJ43/T 515-2020</t>
    <phoneticPr fontId="1" type="noConversion"/>
  </si>
  <si>
    <t>DB42/T 1218-2016</t>
    <phoneticPr fontId="1" type="noConversion"/>
  </si>
  <si>
    <t>纤维混凝土盾构管片</t>
    <phoneticPr fontId="1" type="noConversion"/>
  </si>
  <si>
    <t>https://bbs.biaozhuns.com/forum.php?mod=viewthread&amp;tid=330068&amp;highlight=%E7%9B%BE%E6%9E%84</t>
    <phoneticPr fontId="1" type="noConversion"/>
  </si>
  <si>
    <t>https://bbs.biaozhuns.com/forum.php?mod=viewthread&amp;tid=325808&amp;highlight=%E7%9B%BE%E6%9E%84</t>
    <phoneticPr fontId="1" type="noConversion"/>
  </si>
  <si>
    <t>https://bbs.biaozhuns.com/forum.php?mod=viewthread&amp;tid=299916&amp;highlight=%E7%9B%BE%E6%9E%84</t>
    <phoneticPr fontId="1" type="noConversion"/>
  </si>
  <si>
    <t>https://bbs.biaozhuns.com/forum.php?mod=viewthread&amp;tid=291286&amp;highlight=%E7%9B%BE%E6%9E%84</t>
    <phoneticPr fontId="1" type="noConversion"/>
  </si>
  <si>
    <t>https://max.book118.com/html/2018/0116/149080798.shtm</t>
    <phoneticPr fontId="1" type="noConversion"/>
  </si>
  <si>
    <t>https://www.mohurd.gov.cn/gongkai/fdzdgknr/tzgg/201703/20170302_231228.html</t>
    <phoneticPr fontId="1" type="noConversion"/>
  </si>
  <si>
    <t>https://www.mohurd.gov.cn/gongkai/fdzdgknr/tzgg/201406/20140613_224192.html</t>
    <phoneticPr fontId="1" type="noConversion"/>
  </si>
  <si>
    <t>https://max.book118.com/html/2018/1207/8104023055001136.shtm</t>
    <phoneticPr fontId="1" type="noConversion"/>
  </si>
  <si>
    <t>https://www.mohurd.gov.cn/gongkai/fdzdgknr/tzgg/201301/20130106_212476.html</t>
    <phoneticPr fontId="1" type="noConversion"/>
  </si>
  <si>
    <t>https://ishare.iask.sina.com.cn/f/9WWlT70GRP.html</t>
    <phoneticPr fontId="1" type="noConversion"/>
  </si>
  <si>
    <t>https://www.docin.com/p-603048657.html</t>
    <phoneticPr fontId="1" type="noConversion"/>
  </si>
  <si>
    <t>https://bbs.biaozhuns.com/forum.php?mod=viewthread&amp;tid=327699&amp;highlight=%E7%9B%BE%E6%9E%84</t>
    <phoneticPr fontId="1" type="noConversion"/>
  </si>
  <si>
    <t>https://bbs.biaozhuns.com/forum.php?mod=viewthread&amp;tid=322423&amp;highlight=%E7%9B%BE%E6%9E%84</t>
    <phoneticPr fontId="1" type="noConversion"/>
  </si>
  <si>
    <t>https://bbs.biaozhuns.com/forum.php?mod=viewthread&amp;tid=314741&amp;highlight=%E7%9B%BE%E6%9E%84</t>
    <phoneticPr fontId="1" type="noConversion"/>
  </si>
  <si>
    <t>https://bbs.biaozhuns.com/forum.php?mod=viewthread&amp;tid=312372&amp;highlight=%E7%9B%BE%E6%9E%84</t>
    <phoneticPr fontId="1" type="noConversion"/>
  </si>
  <si>
    <t>https://bbs.biaozhuns.com/forum.php?mod=viewthread&amp;tid=301919&amp;highlight=%E7%9B%BE%E6%9E%84</t>
    <phoneticPr fontId="1" type="noConversion"/>
  </si>
  <si>
    <t>http://openstd.samr.gov.cn/bzgk/gb/newGbInfo?hcno=858E3D370B0CCA142C08C25D8A25055B</t>
    <phoneticPr fontId="1" type="noConversion"/>
  </si>
  <si>
    <t>https://bbs.biaozhuns.com/search.php?mod=forum&amp;searchid=6114&amp;orderby=dateline&amp;ascdesc=desc&amp;searchsubmit=yes&amp;kw=%E7%9B%BE%E6%9E%84</t>
    <phoneticPr fontId="1" type="noConversion"/>
  </si>
  <si>
    <t>JB/T 11861-2014</t>
    <phoneticPr fontId="1" type="noConversion"/>
  </si>
  <si>
    <t>DBJ51/T 155-2020</t>
    <phoneticPr fontId="1" type="noConversion"/>
  </si>
  <si>
    <t>全断面隧道掘进机 泥水平衡盾构机</t>
    <phoneticPr fontId="1" type="noConversion"/>
  </si>
  <si>
    <t>GB/T35019-2018</t>
    <phoneticPr fontId="1" type="noConversion"/>
  </si>
  <si>
    <t>全断面隧道掘进机 盾构机安全要求</t>
    <phoneticPr fontId="1" type="noConversion"/>
  </si>
  <si>
    <t>https://bbs.biaozhuns.com/forum.php?mod=viewthread&amp;tid=275338&amp;highlight=%E7%9B%BE%E6%9E%84</t>
    <phoneticPr fontId="1" type="noConversion"/>
  </si>
  <si>
    <t>标准类型</t>
    <phoneticPr fontId="1" type="noConversion"/>
  </si>
  <si>
    <t>GB/T 34650-2017</t>
    <phoneticPr fontId="1" type="noConversion"/>
  </si>
  <si>
    <t>全断面隧道掘进机 土压平衡盾构机</t>
    <phoneticPr fontId="1" type="noConversion"/>
  </si>
  <si>
    <t>GB/T 34651-2017</t>
    <phoneticPr fontId="1" type="noConversion"/>
  </si>
  <si>
    <t>盾构法隧道管片用软木橡胶衬垫</t>
    <phoneticPr fontId="1" type="noConversion"/>
  </si>
  <si>
    <t>GB/T 31061-2014</t>
    <phoneticPr fontId="1" type="noConversion"/>
  </si>
  <si>
    <t>行业标准</t>
    <phoneticPr fontId="1" type="noConversion"/>
  </si>
  <si>
    <t>盾构机切削刀具</t>
    <phoneticPr fontId="1" type="noConversion"/>
  </si>
  <si>
    <t>DG/TJ 08-2041-202</t>
    <phoneticPr fontId="1" type="noConversion"/>
  </si>
  <si>
    <t>盾构法隧道同步注浆材料</t>
    <phoneticPr fontId="1" type="noConversion"/>
  </si>
  <si>
    <t>DB42/T 1218-2016</t>
  </si>
  <si>
    <t>富水砂卵石地层地铁区间隧道盾构法施工技术标准</t>
  </si>
  <si>
    <t>富水砂卵石地层地铁区间隧道盾构法施工技术标准</t>
    <phoneticPr fontId="1" type="noConversion"/>
  </si>
  <si>
    <t>湖北</t>
    <phoneticPr fontId="1" type="noConversion"/>
  </si>
  <si>
    <t>四川</t>
    <phoneticPr fontId="1" type="noConversion"/>
  </si>
  <si>
    <t>陕西</t>
    <phoneticPr fontId="1" type="noConversion"/>
  </si>
  <si>
    <t>上海</t>
    <phoneticPr fontId="1" type="noConversion"/>
  </si>
  <si>
    <t>北京</t>
    <phoneticPr fontId="1" type="noConversion"/>
  </si>
  <si>
    <t>备注</t>
    <phoneticPr fontId="1" type="noConversion"/>
  </si>
  <si>
    <t>湖南</t>
    <phoneticPr fontId="1" type="noConversion"/>
  </si>
  <si>
    <t>盾构始发与接收切割玻璃纤维筋混凝土围护结构技术规程</t>
    <phoneticPr fontId="1" type="noConversion"/>
  </si>
  <si>
    <t>DB11/T 1506-2017</t>
    <phoneticPr fontId="1" type="noConversion"/>
  </si>
  <si>
    <t>异形断面盾构法隧道技术标准</t>
    <phoneticPr fontId="1" type="noConversion"/>
  </si>
  <si>
    <t>DG/TJ 08-2287-2019</t>
    <phoneticPr fontId="1" type="noConversion"/>
  </si>
  <si>
    <t>DB34/T 3945-2021</t>
    <phoneticPr fontId="1" type="noConversion"/>
  </si>
  <si>
    <t>地铁盾构衬砌管片预制、施工及验收技术规程</t>
    <phoneticPr fontId="1" type="noConversion"/>
  </si>
  <si>
    <t>安徽</t>
    <phoneticPr fontId="1" type="noConversion"/>
  </si>
  <si>
    <t>T/CSPSTC 42-2019</t>
    <phoneticPr fontId="1" type="noConversion"/>
  </si>
  <si>
    <t>盾构隧道施工测量技术规范</t>
    <phoneticPr fontId="1" type="noConversion"/>
  </si>
  <si>
    <t>T/ZS 0062-2019</t>
    <phoneticPr fontId="1" type="noConversion"/>
  </si>
  <si>
    <t>城市轨道交通盾构隧道工程施工质量验收标准</t>
    <phoneticPr fontId="1" type="noConversion"/>
  </si>
  <si>
    <t>DB22/T 5131-2022</t>
    <phoneticPr fontId="1" type="noConversion"/>
  </si>
  <si>
    <t>预拌盾构砂浆应用技术标准</t>
    <phoneticPr fontId="1" type="noConversion"/>
  </si>
  <si>
    <t>吉林</t>
    <phoneticPr fontId="1" type="noConversion"/>
  </si>
  <si>
    <t>盾构隧道混凝土管片</t>
    <phoneticPr fontId="1" type="noConversion"/>
  </si>
  <si>
    <t>河北</t>
    <phoneticPr fontId="1" type="noConversion"/>
  </si>
  <si>
    <t>DB13T 2085-2014</t>
    <phoneticPr fontId="1" type="noConversion"/>
  </si>
  <si>
    <t>SY/T 7023-2014</t>
    <phoneticPr fontId="1" type="noConversion"/>
  </si>
  <si>
    <t>油气输送管道工程水域盾构法隧道穿越设计规范</t>
    <phoneticPr fontId="1" type="noConversion"/>
  </si>
  <si>
    <t>φ5.5m～φ7m土压平衡盾构机
（软土）</t>
    <phoneticPr fontId="1" type="noConversion"/>
  </si>
  <si>
    <t>水下道路隧道消防系统工程施工质量验收规范</t>
    <phoneticPr fontId="1" type="noConversion"/>
  </si>
  <si>
    <t>江苏</t>
    <phoneticPr fontId="1" type="noConversion"/>
  </si>
  <si>
    <t>DB 32/T 4341—2022</t>
    <phoneticPr fontId="1" type="noConversion"/>
  </si>
  <si>
    <t>GB/T 41052-2021</t>
  </si>
  <si>
    <t>全断面隧道掘进机 远程监控系统</t>
    <phoneticPr fontId="1" type="noConversion"/>
  </si>
  <si>
    <t>GB/T 39858-2021</t>
    <phoneticPr fontId="1" type="noConversion"/>
  </si>
  <si>
    <t>隧道预切槽设备</t>
    <phoneticPr fontId="1" type="noConversion"/>
  </si>
  <si>
    <t>GB/T 41051-2021</t>
    <phoneticPr fontId="1" type="noConversion"/>
  </si>
  <si>
    <t>全断面隧道掘进机 岩石隧道掘进机安全要求</t>
    <phoneticPr fontId="1" type="noConversion"/>
  </si>
  <si>
    <t>全断面隧道掘进机 土压平衡-泥水平衡双模式掘进机</t>
    <phoneticPr fontId="1" type="noConversion"/>
  </si>
  <si>
    <t>GB/T 40127-2021</t>
    <phoneticPr fontId="1" type="noConversion"/>
  </si>
  <si>
    <t>GB/T 41053-2021</t>
    <phoneticPr fontId="1" type="noConversion"/>
  </si>
  <si>
    <t>全断面隧道掘进机 顶管机安全要求</t>
    <phoneticPr fontId="1" type="noConversion"/>
  </si>
  <si>
    <t>GB/T 41056-2021</t>
  </si>
  <si>
    <t>全断面隧道掘进机 双护盾岩石隧道掘进机</t>
    <phoneticPr fontId="1" type="noConversion"/>
  </si>
  <si>
    <t>GB/T 40122-2021</t>
    <phoneticPr fontId="1" type="noConversion"/>
  </si>
  <si>
    <t>全断面速调掘进机矩形土压平衡顶管机</t>
    <phoneticPr fontId="1" type="noConversion"/>
  </si>
  <si>
    <t>TB/T 3356-2021</t>
    <phoneticPr fontId="1" type="noConversion"/>
  </si>
  <si>
    <t>铁路隧道锚杆</t>
    <phoneticPr fontId="1" type="noConversion"/>
  </si>
  <si>
    <t>JB/T 13953-2020</t>
    <phoneticPr fontId="1" type="noConversion"/>
  </si>
  <si>
    <t>全断面隧道掘进机用盘形滚刀刀圈</t>
    <phoneticPr fontId="1" type="noConversion"/>
  </si>
  <si>
    <t>JB/T 13954-2020</t>
  </si>
  <si>
    <t>全断面隧道掘进机用盘形滚刀刀体</t>
    <phoneticPr fontId="1" type="noConversion"/>
  </si>
  <si>
    <t>JB/T 13386-2018 </t>
  </si>
  <si>
    <t>全断面隧道掘进机用盘形滚刀楔装锁紧组件</t>
    <phoneticPr fontId="1" type="noConversion"/>
  </si>
  <si>
    <t>JB/T 13385-2018</t>
  </si>
  <si>
    <t>全断面隧道掘进机用盘形滚刀</t>
    <phoneticPr fontId="1" type="noConversion"/>
  </si>
  <si>
    <t>JB/T 13384-2018 </t>
  </si>
  <si>
    <t>全断面隧道掘进机用刮刀</t>
    <phoneticPr fontId="1" type="noConversion"/>
  </si>
  <si>
    <t>TB/T 3353-2014 </t>
  </si>
  <si>
    <t>铁路隧道钢筋混凝土管片</t>
    <phoneticPr fontId="1" type="noConversion"/>
  </si>
  <si>
    <t>TB/T 3329-2013</t>
    <phoneticPr fontId="1" type="noConversion"/>
  </si>
  <si>
    <t>电气化铁路接触网隧道内预埋槽道</t>
    <phoneticPr fontId="1" type="noConversion"/>
  </si>
  <si>
    <t>DB35/T 2075-2022 </t>
  </si>
  <si>
    <t>公路隧道仰拱施工质量无损检测技术规程</t>
    <phoneticPr fontId="1" type="noConversion"/>
  </si>
  <si>
    <t>福建</t>
    <phoneticPr fontId="1" type="noConversion"/>
  </si>
  <si>
    <t>DB32/T 4243-2022</t>
    <phoneticPr fontId="1" type="noConversion"/>
  </si>
  <si>
    <t>水下隧道结构健康监测技术规程</t>
    <phoneticPr fontId="1" type="noConversion"/>
  </si>
  <si>
    <t>公路隧道超前地址预报技术规程</t>
    <phoneticPr fontId="1" type="noConversion"/>
  </si>
  <si>
    <t>广西</t>
    <phoneticPr fontId="1" type="noConversion"/>
  </si>
  <si>
    <t>DB45/T 2525-2022</t>
    <phoneticPr fontId="1" type="noConversion"/>
  </si>
  <si>
    <t>DB32/T 4305-2022</t>
  </si>
  <si>
    <t>公路隧道堰筑隧道工程质量检验评定规程</t>
    <phoneticPr fontId="1" type="noConversion"/>
  </si>
  <si>
    <t>T/CSPSTC 72-2021</t>
    <phoneticPr fontId="1" type="noConversion"/>
  </si>
  <si>
    <t>隧道衬砌脱空注浆治理技术规程</t>
    <phoneticPr fontId="1" type="noConversion"/>
  </si>
  <si>
    <t>未下载，全国团体标准信息网可查看</t>
    <phoneticPr fontId="1" type="noConversion"/>
  </si>
  <si>
    <t>T/HNMES 24-2022</t>
    <phoneticPr fontId="1" type="noConversion"/>
  </si>
  <si>
    <t>隧道掘进机成套装备风险预警系统</t>
    <phoneticPr fontId="1" type="noConversion"/>
  </si>
  <si>
    <t>盾构隧道联络通道冻结法施工技术规程</t>
    <phoneticPr fontId="1" type="noConversion"/>
  </si>
  <si>
    <t>T/ZS 0212-2021</t>
    <phoneticPr fontId="1" type="noConversion"/>
  </si>
  <si>
    <t>T/CHTS 10057-2022</t>
    <phoneticPr fontId="1" type="noConversion"/>
  </si>
  <si>
    <t>港珠澳大桥施工技术指南 第二分册：沉管隧道工程</t>
    <phoneticPr fontId="1" type="noConversion"/>
  </si>
  <si>
    <t>未下载</t>
    <phoneticPr fontId="1" type="noConversion"/>
  </si>
  <si>
    <t>JBT 13672-2019</t>
  </si>
  <si>
    <t>双护盾岩石隧道掘进机</t>
    <phoneticPr fontId="1" type="noConversion"/>
  </si>
  <si>
    <t xml:space="preserve"> 双护盾岩石掘进机</t>
    <phoneticPr fontId="1" type="noConversion"/>
  </si>
  <si>
    <t>T_CCMA 0044-2016</t>
  </si>
  <si>
    <t>STB 1225-2000</t>
  </si>
  <si>
    <t>Prefabricated concrete and reinforced concrete products for drainage structures on roads</t>
    <phoneticPr fontId="1" type="noConversion"/>
  </si>
  <si>
    <t>BELST</t>
  </si>
  <si>
    <t>DIN EN 12602</t>
    <phoneticPr fontId="1" type="noConversion"/>
  </si>
  <si>
    <t>Prefabricated reinforced components of autoclaved aerated concrete</t>
  </si>
  <si>
    <t>DIN</t>
    <phoneticPr fontId="1" type="noConversion"/>
  </si>
  <si>
    <t>DIN EN 1356</t>
  </si>
  <si>
    <t>Performance test for prefabricated reinforced components of autoclaved aerated concrete or lightweight aggregate concrete with open structure under transverse load</t>
  </si>
  <si>
    <t>DIN EN 991</t>
  </si>
  <si>
    <t>Determination of the dimensions of prefabricated reinforced components made of autoclaved aerated concrete or lightweight aggregate concrete with open structure</t>
  </si>
  <si>
    <t>UNE-EN 1356:1997</t>
  </si>
  <si>
    <t>AENOR</t>
    <phoneticPr fontId="1" type="noConversion"/>
  </si>
  <si>
    <t>UNE-EN 991:1996</t>
  </si>
  <si>
    <t>Determination of the dimension of prefabricated reinforced components made of autoclaved aerated concrete or lightweight aggregate concrete with open structure</t>
  </si>
  <si>
    <t>DIN EN 1739</t>
  </si>
  <si>
    <t>Determination of shear strength for in-plane forces of joints between prefabricated components of autoclaved aerated concrete or lightweight aggregate concrete with open structure</t>
  </si>
  <si>
    <t>UNE-EN 1740:1999</t>
  </si>
  <si>
    <t xml:space="preserve">Performance test for prefabricated reinforced components made of autoclaved aerated concrete or lightweight aggregate concrete with open structure under predominantly longitudinal load (vertical components)
</t>
    <phoneticPr fontId="1" type="noConversion"/>
  </si>
  <si>
    <t>DIN EN 1520</t>
  </si>
  <si>
    <t>Prefabricated reinforced components of lightweight aggregate concrete with open structure with structural or non-structural reinforcement</t>
  </si>
  <si>
    <t>UNE-EN 15361:2009</t>
  </si>
  <si>
    <t>Determination of the influence of the corrosion protection coating on the anchorage capacity of the transverse anchorage bars in prefabricated reinforced components of autoclaved aerated concrete</t>
  </si>
  <si>
    <t>NF F53-776:1990</t>
  </si>
  <si>
    <t>Railway fixed equipment. Prefabricated barbican ditch elements, in reinforced concrete.</t>
  </si>
  <si>
    <t>NF P10-210:1993</t>
  </si>
  <si>
    <t>Exterior cladding using large prefabricated panels of the solid or ribbed slab type or ordinary concrete</t>
  </si>
  <si>
    <t>STB 1071-2007</t>
  </si>
  <si>
    <t>Concrete and reinforced concrete slabs for footways and roads</t>
  </si>
  <si>
    <t>BELST</t>
    <phoneticPr fontId="1" type="noConversion"/>
  </si>
  <si>
    <t>NF P19-102*NF EN 1520:2011</t>
  </si>
  <si>
    <t>Prefabricated components of lightweight aggregate concrete with open structure with structural or non-structural reinforcement</t>
  </si>
  <si>
    <t>AFNOR</t>
    <phoneticPr fontId="1" type="noConversion"/>
  </si>
  <si>
    <t>序号</t>
  </si>
  <si>
    <t>名称</t>
  </si>
  <si>
    <t>是否下载</t>
  </si>
  <si>
    <t>资源链接</t>
  </si>
  <si>
    <t>标号</t>
  </si>
  <si>
    <t>规范属性</t>
  </si>
  <si>
    <t>是</t>
  </si>
  <si>
    <t>国家标准</t>
  </si>
  <si>
    <t>钢管混凝土混合结构技术标准</t>
  </si>
  <si>
    <t>混凝土结构通用规范</t>
  </si>
  <si>
    <t>https://www.mohurd.gov.cn/gongkai/fdzdgknr/zfhcxjsbwj/202110/20211013_762454.html</t>
  </si>
  <si>
    <t>https://www.mohurd.gov.cn/gongkai/fdzdgknr/tzgg/202001/20200123_244950.html</t>
  </si>
  <si>
    <t>https://www.mohurd.gov.cn/gongkai/fdzdgknr/tzgg/201910/20191012_242201.html</t>
  </si>
  <si>
    <t>大体积混凝土施工标准</t>
  </si>
  <si>
    <t>https://www.mohurd.gov.cn/gongkai/fdzdgknr/tzgg/201805/20180511_246272.html</t>
  </si>
  <si>
    <t>https://www.mohurd.gov.cn/gongkai/fdzdgknr/zfhcxjsbwj/202204/20220412_765632.html</t>
  </si>
  <si>
    <t>https://www.mohurd.gov.cn/gongkai/fdzdgknr/zfhcxjsbwj/202110/20211025_762617.html</t>
  </si>
  <si>
    <t>既有建筑鉴定与加固通用规范</t>
  </si>
  <si>
    <t>https://www.mohurd.gov.cn/gongkai/fdzdgknr/zfhcxjsbwj/202110/20211013_762453.html</t>
  </si>
  <si>
    <t>https://www.mohurd.gov.cn/gongkai/fdzdgknr/zfhcxjsbwj/202110/20211013_762459.html</t>
  </si>
  <si>
    <t>https://www.mohurd.gov.cn/gongkai/fdzdgknr/zfhcxjsbwj/202107/20210715_761174.html</t>
  </si>
  <si>
    <t>https://www.mohurd.gov.cn/gongkai/fdzdgknr/tzgg/201911/20191129_246897.html</t>
  </si>
  <si>
    <t>https://www.mohurd.gov.cn/gongkai/fdzdgknr/tzgg/202006/20200605_245711.html</t>
  </si>
  <si>
    <t>建筑给水排水设计标准</t>
  </si>
  <si>
    <t>https://www.mohurd.gov.cn/gongkai/fdzdgknr/tzgg/201912/20191209_242990.html</t>
  </si>
  <si>
    <t>建筑节能工程施工质量验收标准</t>
  </si>
  <si>
    <t>https://www.mohurd.gov.cn/gongkai/fdzdgknr/tzgg/201911/20191125_242810.html</t>
  </si>
  <si>
    <t>建筑施工承插型盘扣式钢管脚手架安全技术标准</t>
  </si>
  <si>
    <t>https://www.mohurd.gov.cn/gongkai/fdzdgknr/zfhcxjsbwj/202108/20210823_761700.html</t>
  </si>
  <si>
    <t>行业标准</t>
  </si>
  <si>
    <t>建筑施工用附着式升降作业安全防护平台</t>
  </si>
  <si>
    <t>https://www.mohurd.gov.cn/gongkai/fdzdgknr/tzgg/201911/20191112_242669.html</t>
  </si>
  <si>
    <t>建筑施工易发事故防治安全标准</t>
  </si>
  <si>
    <t>https://www.mohurd.gov.cn/gongkai/fdzdgknr/tzgg/201808/20180824_237293.html</t>
  </si>
  <si>
    <t>建筑施工测量标准</t>
  </si>
  <si>
    <t>https://www.mohurd.gov.cn/gongkai/fdzdgknr/tzgg/201706/20170630_232466.html</t>
  </si>
  <si>
    <t>建筑施工临时支撑结构技术规范</t>
  </si>
  <si>
    <t>https://www.mohurd.gov.cn/gongkai/fdzdgknr/tzgg/201306/20130625_224766.html</t>
  </si>
  <si>
    <t>建筑施工升降设备设施检验标准</t>
  </si>
  <si>
    <t>https://www.mohurd.gov.cn/gongkai/fdzdgknr/tzgg/201306/20130625_224731.html</t>
  </si>
  <si>
    <t>建筑施工起重吊装工程安全技术规范</t>
  </si>
  <si>
    <t>https://www.mohurd.gov.cn/gongkai/fdzdgknr/tzgg/201202/20120221_208860.html</t>
  </si>
  <si>
    <t>建筑施工企业信息化评价标准</t>
  </si>
  <si>
    <t>https://www.mohurd.gov.cn/gongkai/fdzdgknr/tzgg/201201/20120112_208413.html</t>
  </si>
  <si>
    <t>早期推定混凝土强度试验方法标准</t>
  </si>
  <si>
    <t>https://www.mohurd.gov.cn/gongkai/fdzdgknr/zfhcxjsbwj/202108/20210823_761699.html</t>
  </si>
  <si>
    <t>https://www.mohurd.gov.cn/gongkai/fdzdgknr/tzgg/202001/20200108_243455.html</t>
  </si>
  <si>
    <t>https://www.mohurd.gov.cn/gongkai/fdzdgknr/tzgg/202004/20200423_245109.html</t>
  </si>
  <si>
    <t>https://www.mohurd.gov.cn/gongkai/fdzdgknr/tzgg/202001/20200108_243451.html</t>
  </si>
  <si>
    <t>钢管约束混凝土结构技术标准</t>
  </si>
  <si>
    <t>https://www.mohurd.gov.cn/gongkai/fdzdgknr/tzgg/201911/20191125_242812.html</t>
  </si>
  <si>
    <t>https://www.mohurd.gov.cn/gongkai/fdzdgknr/tzgg/201911/20191125_242813.html</t>
  </si>
  <si>
    <t>https://www.mohurd.gov.cn/gongkai/fdzdgknr/tzgg/202004/20200414_244935.html</t>
  </si>
  <si>
    <t>https://www.mohurd.gov.cn/gongkai/fdzdgknr/tzgg/201910/20191012_242189.html</t>
  </si>
  <si>
    <t>https://www.mohurd.gov.cn/gongkai/fdzdgknr/tzgg/201910/20191012_242190.html</t>
  </si>
  <si>
    <t>https://www.mohurd.gov.cn/gongkai/fdzdgknr/tzgg/201904/20190422_240274.html</t>
  </si>
  <si>
    <t>预应力混凝土管桩技术标准</t>
  </si>
  <si>
    <t>https://www.mohurd.gov.cn/gongkai/fdzdgknr/tzgg/201708/20170830_234708.html</t>
  </si>
  <si>
    <t>建筑防护栏杆技术标准</t>
  </si>
  <si>
    <t>https://www.mohurd.gov.cn/gongkai/fdzdgknr/tzgg/202001/20200108_243457.html</t>
  </si>
  <si>
    <t>建筑施工脚手架安全技术统一标准</t>
    <phoneticPr fontId="1" type="noConversion"/>
  </si>
  <si>
    <t>https://www.mohurd.gov.cn/gongkai/fdzdgknr/tzgg/201702/20170228_231185.html</t>
    <phoneticPr fontId="1" type="noConversion"/>
  </si>
  <si>
    <t>https://www.mohurd.gov.cn/gongkai/fdzdgknr/zfhcxjsbwj/202111/20211130_763200.html</t>
    <phoneticPr fontId="1" type="noConversion"/>
  </si>
  <si>
    <t>GB51210-2016</t>
    <phoneticPr fontId="1" type="noConversion"/>
  </si>
  <si>
    <t>GB/T51446-2021</t>
    <phoneticPr fontId="1" type="noConversion"/>
  </si>
  <si>
    <t>GB 55008-2021</t>
    <phoneticPr fontId="1" type="noConversion"/>
  </si>
  <si>
    <t>GB/T51416-2020</t>
    <phoneticPr fontId="1" type="noConversion"/>
  </si>
  <si>
    <t>混凝土坝安全监测技术标准</t>
    <phoneticPr fontId="1" type="noConversion"/>
  </si>
  <si>
    <t>GB/T50476-2019</t>
    <phoneticPr fontId="1" type="noConversion"/>
  </si>
  <si>
    <t>混凝土结构耐久性设计标准</t>
    <phoneticPr fontId="1" type="noConversion"/>
  </si>
  <si>
    <t>GB50496-2018</t>
    <phoneticPr fontId="1" type="noConversion"/>
  </si>
  <si>
    <t>GB 55024-2022</t>
    <phoneticPr fontId="1" type="noConversion"/>
  </si>
  <si>
    <t>建筑电气与智能化通用规范</t>
    <phoneticPr fontId="1" type="noConversion"/>
  </si>
  <si>
    <t>GB/T51447-2021</t>
    <phoneticPr fontId="1" type="noConversion"/>
  </si>
  <si>
    <t>建筑信息模型存储标准</t>
    <phoneticPr fontId="1" type="noConversion"/>
  </si>
  <si>
    <t>GB 55021-2021</t>
    <phoneticPr fontId="1" type="noConversion"/>
  </si>
  <si>
    <t>GB 55016-2021</t>
    <phoneticPr fontId="1" type="noConversion"/>
  </si>
  <si>
    <t>建筑环境通用规范</t>
    <phoneticPr fontId="1" type="noConversion"/>
  </si>
  <si>
    <t>GB55002-2021</t>
    <phoneticPr fontId="1" type="noConversion"/>
  </si>
  <si>
    <t>建筑与市政工程抗震通用规范</t>
    <phoneticPr fontId="1" type="noConversion"/>
  </si>
  <si>
    <t>GB50497-2019</t>
    <phoneticPr fontId="1" type="noConversion"/>
  </si>
  <si>
    <t>建筑基坑工程监测技术标准</t>
    <phoneticPr fontId="1" type="noConversion"/>
  </si>
  <si>
    <t>GB/T50344-2019</t>
    <phoneticPr fontId="1" type="noConversion"/>
  </si>
  <si>
    <t>建筑结构检测技术标准</t>
    <phoneticPr fontId="1" type="noConversion"/>
  </si>
  <si>
    <t>GB50015-2019</t>
    <phoneticPr fontId="1" type="noConversion"/>
  </si>
  <si>
    <t>GB50411-2019</t>
    <phoneticPr fontId="1" type="noConversion"/>
  </si>
  <si>
    <t>JGJ/T231-2021</t>
    <phoneticPr fontId="1" type="noConversion"/>
  </si>
  <si>
    <t>JG/T546-2019</t>
    <phoneticPr fontId="1" type="noConversion"/>
  </si>
  <si>
    <t>JGJ/T429-2018</t>
    <phoneticPr fontId="1" type="noConversion"/>
  </si>
  <si>
    <t>JGJ/T408-2017</t>
    <phoneticPr fontId="1" type="noConversion"/>
  </si>
  <si>
    <t>JGJ300-2013</t>
    <phoneticPr fontId="1" type="noConversion"/>
  </si>
  <si>
    <t>JGJ305-2013</t>
    <phoneticPr fontId="1" type="noConversion"/>
  </si>
  <si>
    <t>JGJ276-2012</t>
    <phoneticPr fontId="1" type="noConversion"/>
  </si>
  <si>
    <t>JGJ/T272-2012</t>
    <phoneticPr fontId="1" type="noConversion"/>
  </si>
  <si>
    <t>JGJ/T15-2021</t>
    <phoneticPr fontId="1" type="noConversion"/>
  </si>
  <si>
    <t>JGJ/T456-2019</t>
    <phoneticPr fontId="1" type="noConversion"/>
  </si>
  <si>
    <t>是</t>
    <phoneticPr fontId="1" type="noConversion"/>
  </si>
  <si>
    <t>雷达法检测混凝土结构技术标准</t>
    <phoneticPr fontId="1" type="noConversion"/>
  </si>
  <si>
    <t>JG/T568-2019</t>
    <phoneticPr fontId="1" type="noConversion"/>
  </si>
  <si>
    <t>高性能混凝土用骨料</t>
    <phoneticPr fontId="1" type="noConversion"/>
  </si>
  <si>
    <t>JGJ/T140-2019</t>
    <phoneticPr fontId="1" type="noConversion"/>
  </si>
  <si>
    <t>预应力混凝土结构抗震设计标准</t>
    <phoneticPr fontId="1" type="noConversion"/>
  </si>
  <si>
    <t>JGJ/T471-2019</t>
    <phoneticPr fontId="1" type="noConversion"/>
  </si>
  <si>
    <t>JGJ/T152-2019</t>
    <phoneticPr fontId="1" type="noConversion"/>
  </si>
  <si>
    <t>混凝土中钢筋检测技术标准</t>
    <phoneticPr fontId="1" type="noConversion"/>
  </si>
  <si>
    <t>JGJ/T465－2019</t>
    <phoneticPr fontId="1" type="noConversion"/>
  </si>
  <si>
    <t>钢纤维混凝土结构设计标准</t>
    <phoneticPr fontId="1" type="noConversion"/>
  </si>
  <si>
    <t>CJJ/T293-2019</t>
    <phoneticPr fontId="1" type="noConversion"/>
  </si>
  <si>
    <t>城市轨道交通预应力混凝土节段预制桥梁技术标准</t>
    <phoneticPr fontId="1" type="noConversion"/>
  </si>
  <si>
    <t>JGJ/T187-2019</t>
    <phoneticPr fontId="1" type="noConversion"/>
  </si>
  <si>
    <t>塔式起重机混凝土基础工程技术标准</t>
    <phoneticPr fontId="1" type="noConversion"/>
  </si>
  <si>
    <t>JG/T565-2018</t>
    <phoneticPr fontId="1" type="noConversion"/>
  </si>
  <si>
    <t>工厂预制混凝土构件质量管理标准</t>
    <phoneticPr fontId="1" type="noConversion"/>
  </si>
  <si>
    <t>JGJ/T406-2017</t>
    <phoneticPr fontId="1" type="noConversion"/>
  </si>
  <si>
    <t>JGJ/T470-2019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</si>
</sst>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Arial"/>
      <family val="2"/>
    </font>
    <font>
      <u/>
      <sz val="11"/>
      <color theme="1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5" fillId="0" borderId="0" xfId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/>
    <xf numFmtId="0" fontId="5" fillId="3" borderId="1" xfId="1" applyFill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mohurd.gov.cn/gongkai/fdzdgknr/zfhcxjsbwj/202111/20211130_763200.html" TargetMode="External"/><Relationship Id="rId1" Type="http://schemas.openxmlformats.org/officeDocument/2006/relationships/hyperlink" Target="https://www.mohurd.gov.cn/gongkai/fdzdgknr/tzgg/201702/20170228_231185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bbs.biaozhuns.com/forum.php?mod=viewthread&amp;tid=291286&amp;highlight=%E7%9B%BE%E6%9E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DF2D-113A-4AE5-9712-EF8B2344E812}">
  <dimension ref="A1:E64"/>
  <sheetViews>
    <sheetView topLeftCell="A46" workbookViewId="0">
      <selection activeCell="G70" sqref="G70"/>
    </sheetView>
  </sheetViews>
  <sheetFormatPr defaultRowHeight="13.8" x14ac:dyDescent="0.25"/>
  <cols>
    <col min="2" max="2" width="9.109375" style="6" bestFit="1" customWidth="1"/>
    <col min="3" max="3" width="20.88671875" style="6" bestFit="1" customWidth="1"/>
    <col min="4" max="4" width="34.21875" style="6" bestFit="1" customWidth="1"/>
  </cols>
  <sheetData>
    <row r="1" spans="1:5" x14ac:dyDescent="0.25">
      <c r="A1" s="7" t="s">
        <v>84</v>
      </c>
      <c r="B1" s="8" t="s">
        <v>0</v>
      </c>
      <c r="C1" s="8" t="s">
        <v>4</v>
      </c>
      <c r="D1" s="8" t="s">
        <v>1</v>
      </c>
      <c r="E1" s="7" t="s">
        <v>102</v>
      </c>
    </row>
    <row r="2" spans="1:5" x14ac:dyDescent="0.25">
      <c r="A2" s="16" t="s">
        <v>26</v>
      </c>
      <c r="B2" s="8">
        <f>ROW()-1</f>
        <v>1</v>
      </c>
      <c r="C2" s="8" t="s">
        <v>6</v>
      </c>
      <c r="D2" s="8" t="s">
        <v>3</v>
      </c>
      <c r="E2" s="7"/>
    </row>
    <row r="3" spans="1:5" x14ac:dyDescent="0.25">
      <c r="A3" s="16"/>
      <c r="B3" s="8">
        <f t="shared" ref="B3:B15" si="0">ROW()-1</f>
        <v>2</v>
      </c>
      <c r="C3" s="8" t="s">
        <v>127</v>
      </c>
      <c r="D3" s="8" t="s">
        <v>128</v>
      </c>
      <c r="E3" s="7"/>
    </row>
    <row r="4" spans="1:5" x14ac:dyDescent="0.25">
      <c r="A4" s="16"/>
      <c r="B4" s="8">
        <f t="shared" si="0"/>
        <v>3</v>
      </c>
      <c r="C4" s="8" t="s">
        <v>129</v>
      </c>
      <c r="D4" s="8" t="s">
        <v>130</v>
      </c>
      <c r="E4" s="7"/>
    </row>
    <row r="5" spans="1:5" ht="27.6" x14ac:dyDescent="0.25">
      <c r="A5" s="16"/>
      <c r="B5" s="8">
        <f t="shared" si="0"/>
        <v>4</v>
      </c>
      <c r="C5" s="8" t="s">
        <v>131</v>
      </c>
      <c r="D5" s="9" t="s">
        <v>132</v>
      </c>
      <c r="E5" s="7"/>
    </row>
    <row r="6" spans="1:5" ht="27.6" x14ac:dyDescent="0.25">
      <c r="A6" s="16"/>
      <c r="B6" s="8">
        <f t="shared" si="0"/>
        <v>5</v>
      </c>
      <c r="C6" s="8" t="s">
        <v>135</v>
      </c>
      <c r="D6" s="9" t="s">
        <v>133</v>
      </c>
      <c r="E6" s="7"/>
    </row>
    <row r="7" spans="1:5" x14ac:dyDescent="0.25">
      <c r="A7" s="16"/>
      <c r="B7" s="8">
        <f t="shared" si="0"/>
        <v>6</v>
      </c>
      <c r="C7" s="8" t="s">
        <v>134</v>
      </c>
      <c r="D7" s="9" t="s">
        <v>136</v>
      </c>
      <c r="E7" s="7"/>
    </row>
    <row r="8" spans="1:5" ht="27.6" x14ac:dyDescent="0.25">
      <c r="A8" s="16"/>
      <c r="B8" s="8">
        <f t="shared" si="0"/>
        <v>7</v>
      </c>
      <c r="C8" s="8" t="s">
        <v>137</v>
      </c>
      <c r="D8" s="9" t="s">
        <v>138</v>
      </c>
      <c r="E8" s="7"/>
    </row>
    <row r="9" spans="1:5" ht="27.6" x14ac:dyDescent="0.25">
      <c r="A9" s="16"/>
      <c r="B9" s="8">
        <f t="shared" si="0"/>
        <v>8</v>
      </c>
      <c r="C9" s="8" t="s">
        <v>139</v>
      </c>
      <c r="D9" s="9" t="s">
        <v>140</v>
      </c>
      <c r="E9" s="7"/>
    </row>
    <row r="10" spans="1:5" x14ac:dyDescent="0.25">
      <c r="A10" s="16"/>
      <c r="B10" s="8">
        <f t="shared" si="0"/>
        <v>9</v>
      </c>
      <c r="C10" s="8" t="s">
        <v>56</v>
      </c>
      <c r="D10" s="8" t="s">
        <v>59</v>
      </c>
      <c r="E10" s="7"/>
    </row>
    <row r="11" spans="1:5" x14ac:dyDescent="0.25">
      <c r="A11" s="16"/>
      <c r="B11" s="8">
        <f t="shared" si="0"/>
        <v>10</v>
      </c>
      <c r="C11" s="8" t="s">
        <v>81</v>
      </c>
      <c r="D11" s="8" t="s">
        <v>80</v>
      </c>
      <c r="E11" s="7"/>
    </row>
    <row r="12" spans="1:5" x14ac:dyDescent="0.25">
      <c r="A12" s="16"/>
      <c r="B12" s="8">
        <f t="shared" si="0"/>
        <v>11</v>
      </c>
      <c r="C12" s="8" t="s">
        <v>9</v>
      </c>
      <c r="D12" s="8" t="s">
        <v>8</v>
      </c>
      <c r="E12" s="7"/>
    </row>
    <row r="13" spans="1:5" x14ac:dyDescent="0.25">
      <c r="A13" s="16"/>
      <c r="B13" s="8">
        <f t="shared" si="0"/>
        <v>12</v>
      </c>
      <c r="C13" s="8" t="s">
        <v>85</v>
      </c>
      <c r="D13" s="8" t="s">
        <v>82</v>
      </c>
      <c r="E13" s="7"/>
    </row>
    <row r="14" spans="1:5" x14ac:dyDescent="0.25">
      <c r="A14" s="16"/>
      <c r="B14" s="8">
        <f t="shared" si="0"/>
        <v>13</v>
      </c>
      <c r="C14" s="8" t="s">
        <v>87</v>
      </c>
      <c r="D14" s="8" t="s">
        <v>86</v>
      </c>
      <c r="E14" s="7"/>
    </row>
    <row r="15" spans="1:5" x14ac:dyDescent="0.25">
      <c r="A15" s="16"/>
      <c r="B15" s="8">
        <f t="shared" si="0"/>
        <v>14</v>
      </c>
      <c r="C15" s="8" t="s">
        <v>89</v>
      </c>
      <c r="D15" s="8" t="s">
        <v>88</v>
      </c>
      <c r="E15" s="7"/>
    </row>
    <row r="16" spans="1:5" x14ac:dyDescent="0.25">
      <c r="A16" s="17" t="s">
        <v>90</v>
      </c>
      <c r="B16" s="8">
        <f>ROW()-15</f>
        <v>1</v>
      </c>
      <c r="C16" s="8" t="s">
        <v>141</v>
      </c>
      <c r="D16" s="8" t="s">
        <v>142</v>
      </c>
      <c r="E16" s="7"/>
    </row>
    <row r="17" spans="1:5" x14ac:dyDescent="0.25">
      <c r="A17" s="18"/>
      <c r="B17" s="8">
        <f t="shared" ref="B17:B34" si="1">ROW()-15</f>
        <v>2</v>
      </c>
      <c r="C17" s="8" t="s">
        <v>143</v>
      </c>
      <c r="D17" s="8" t="s">
        <v>144</v>
      </c>
      <c r="E17" s="7"/>
    </row>
    <row r="18" spans="1:5" x14ac:dyDescent="0.25">
      <c r="A18" s="18"/>
      <c r="B18" s="8">
        <f t="shared" si="1"/>
        <v>3</v>
      </c>
      <c r="C18" s="8" t="s">
        <v>145</v>
      </c>
      <c r="D18" s="8" t="s">
        <v>146</v>
      </c>
      <c r="E18" s="7"/>
    </row>
    <row r="19" spans="1:5" ht="27.6" x14ac:dyDescent="0.25">
      <c r="A19" s="18"/>
      <c r="B19" s="8">
        <f t="shared" si="1"/>
        <v>4</v>
      </c>
      <c r="C19" s="8" t="s">
        <v>47</v>
      </c>
      <c r="D19" s="9" t="s">
        <v>39</v>
      </c>
      <c r="E19" s="7"/>
    </row>
    <row r="20" spans="1:5" x14ac:dyDescent="0.25">
      <c r="A20" s="18"/>
      <c r="B20" s="8">
        <f t="shared" si="1"/>
        <v>5</v>
      </c>
      <c r="C20" s="8" t="s">
        <v>52</v>
      </c>
      <c r="D20" s="8" t="s">
        <v>21</v>
      </c>
      <c r="E20" s="7"/>
    </row>
    <row r="21" spans="1:5" ht="27.6" x14ac:dyDescent="0.25">
      <c r="A21" s="18"/>
      <c r="B21" s="8">
        <f t="shared" si="1"/>
        <v>6</v>
      </c>
      <c r="C21" s="8" t="s">
        <v>147</v>
      </c>
      <c r="D21" s="9" t="s">
        <v>148</v>
      </c>
      <c r="E21" s="7"/>
    </row>
    <row r="22" spans="1:5" x14ac:dyDescent="0.25">
      <c r="A22" s="18"/>
      <c r="B22" s="8">
        <f t="shared" si="1"/>
        <v>7</v>
      </c>
      <c r="C22" s="8" t="s">
        <v>151</v>
      </c>
      <c r="D22" s="9" t="s">
        <v>152</v>
      </c>
      <c r="E22" s="7"/>
    </row>
    <row r="23" spans="1:5" x14ac:dyDescent="0.25">
      <c r="A23" s="18"/>
      <c r="B23" s="8">
        <f t="shared" si="1"/>
        <v>8</v>
      </c>
      <c r="C23" s="8" t="s">
        <v>149</v>
      </c>
      <c r="D23" s="9" t="s">
        <v>150</v>
      </c>
      <c r="E23" s="7"/>
    </row>
    <row r="24" spans="1:5" x14ac:dyDescent="0.25">
      <c r="A24" s="18"/>
      <c r="B24" s="8">
        <f t="shared" si="1"/>
        <v>9</v>
      </c>
      <c r="C24" s="8" t="s">
        <v>27</v>
      </c>
      <c r="D24" s="8" t="s">
        <v>33</v>
      </c>
      <c r="E24" s="7"/>
    </row>
    <row r="25" spans="1:5" x14ac:dyDescent="0.25">
      <c r="A25" s="18"/>
      <c r="B25" s="8">
        <f t="shared" si="1"/>
        <v>10</v>
      </c>
      <c r="C25" s="8" t="s">
        <v>11</v>
      </c>
      <c r="D25" s="8" t="s">
        <v>10</v>
      </c>
      <c r="E25" s="7"/>
    </row>
    <row r="26" spans="1:5" x14ac:dyDescent="0.25">
      <c r="A26" s="18"/>
      <c r="B26" s="8">
        <f t="shared" si="1"/>
        <v>11</v>
      </c>
      <c r="C26" s="8" t="s">
        <v>34</v>
      </c>
      <c r="D26" s="8" t="s">
        <v>36</v>
      </c>
      <c r="E26" s="7"/>
    </row>
    <row r="27" spans="1:5" x14ac:dyDescent="0.25">
      <c r="A27" s="18"/>
      <c r="B27" s="8">
        <f t="shared" si="1"/>
        <v>12</v>
      </c>
      <c r="C27" s="8" t="s">
        <v>153</v>
      </c>
      <c r="D27" s="8" t="s">
        <v>154</v>
      </c>
      <c r="E27" s="7"/>
    </row>
    <row r="28" spans="1:5" x14ac:dyDescent="0.25">
      <c r="A28" s="18"/>
      <c r="B28" s="8">
        <f t="shared" si="1"/>
        <v>13</v>
      </c>
      <c r="C28" s="8" t="s">
        <v>78</v>
      </c>
      <c r="D28" s="8" t="s">
        <v>91</v>
      </c>
      <c r="E28" s="7"/>
    </row>
    <row r="29" spans="1:5" ht="27.6" x14ac:dyDescent="0.25">
      <c r="A29" s="18"/>
      <c r="B29" s="8">
        <f t="shared" si="1"/>
        <v>14</v>
      </c>
      <c r="C29" s="8" t="s">
        <v>121</v>
      </c>
      <c r="D29" s="9" t="s">
        <v>122</v>
      </c>
      <c r="E29" s="7"/>
    </row>
    <row r="30" spans="1:5" x14ac:dyDescent="0.25">
      <c r="A30" s="18"/>
      <c r="B30" s="8">
        <f t="shared" si="1"/>
        <v>15</v>
      </c>
      <c r="C30" s="9" t="s">
        <v>155</v>
      </c>
      <c r="D30" s="9" t="s">
        <v>156</v>
      </c>
      <c r="E30" s="7"/>
    </row>
    <row r="31" spans="1:5" x14ac:dyDescent="0.25">
      <c r="A31" s="18"/>
      <c r="B31" s="8">
        <f t="shared" si="1"/>
        <v>16</v>
      </c>
      <c r="C31" s="8" t="s">
        <v>14</v>
      </c>
      <c r="D31" s="8" t="s">
        <v>13</v>
      </c>
      <c r="E31" s="7"/>
    </row>
    <row r="32" spans="1:5" x14ac:dyDescent="0.25">
      <c r="A32" s="18"/>
      <c r="B32" s="8">
        <f t="shared" si="1"/>
        <v>17</v>
      </c>
      <c r="C32" s="8" t="s">
        <v>37</v>
      </c>
      <c r="D32" s="8" t="s">
        <v>15</v>
      </c>
      <c r="E32" s="7"/>
    </row>
    <row r="33" spans="1:5" ht="27.6" x14ac:dyDescent="0.25">
      <c r="A33" s="18"/>
      <c r="B33" s="8">
        <f t="shared" si="1"/>
        <v>18</v>
      </c>
      <c r="C33" s="8" t="s">
        <v>38</v>
      </c>
      <c r="D33" s="9" t="s">
        <v>123</v>
      </c>
      <c r="E33" s="7"/>
    </row>
    <row r="34" spans="1:5" x14ac:dyDescent="0.25">
      <c r="A34" s="19"/>
      <c r="B34" s="8">
        <f t="shared" si="1"/>
        <v>19</v>
      </c>
      <c r="C34" s="8" t="s">
        <v>177</v>
      </c>
      <c r="D34" s="9" t="s">
        <v>178</v>
      </c>
      <c r="E34" s="7"/>
    </row>
    <row r="35" spans="1:5" ht="27.6" x14ac:dyDescent="0.25">
      <c r="A35" s="17" t="s">
        <v>31</v>
      </c>
      <c r="B35" s="8">
        <f>ROW()-34</f>
        <v>1</v>
      </c>
      <c r="C35" s="8" t="s">
        <v>126</v>
      </c>
      <c r="D35" s="9" t="s">
        <v>124</v>
      </c>
      <c r="E35" s="10" t="s">
        <v>125</v>
      </c>
    </row>
    <row r="36" spans="1:5" ht="27.6" x14ac:dyDescent="0.25">
      <c r="A36" s="18"/>
      <c r="B36" s="8">
        <f t="shared" ref="B36:B53" si="2">ROW()-34</f>
        <v>2</v>
      </c>
      <c r="C36" s="8" t="s">
        <v>165</v>
      </c>
      <c r="D36" s="9" t="s">
        <v>166</v>
      </c>
      <c r="E36" s="10" t="s">
        <v>125</v>
      </c>
    </row>
    <row r="37" spans="1:5" x14ac:dyDescent="0.25">
      <c r="A37" s="18"/>
      <c r="B37" s="8">
        <f t="shared" si="2"/>
        <v>3</v>
      </c>
      <c r="C37" s="9" t="s">
        <v>160</v>
      </c>
      <c r="D37" s="9" t="s">
        <v>161</v>
      </c>
      <c r="E37" s="10" t="s">
        <v>125</v>
      </c>
    </row>
    <row r="38" spans="1:5" ht="27.6" x14ac:dyDescent="0.25">
      <c r="A38" s="18"/>
      <c r="B38" s="8">
        <f t="shared" si="2"/>
        <v>4</v>
      </c>
      <c r="C38" s="11" t="s">
        <v>157</v>
      </c>
      <c r="D38" s="12" t="s">
        <v>158</v>
      </c>
      <c r="E38" s="13" t="s">
        <v>159</v>
      </c>
    </row>
    <row r="39" spans="1:5" x14ac:dyDescent="0.25">
      <c r="A39" s="18"/>
      <c r="B39" s="8">
        <f t="shared" si="2"/>
        <v>5</v>
      </c>
      <c r="C39" s="11" t="s">
        <v>164</v>
      </c>
      <c r="D39" s="12" t="s">
        <v>162</v>
      </c>
      <c r="E39" s="13" t="s">
        <v>163</v>
      </c>
    </row>
    <row r="40" spans="1:5" x14ac:dyDescent="0.25">
      <c r="A40" s="18"/>
      <c r="B40" s="8">
        <f t="shared" si="2"/>
        <v>6</v>
      </c>
      <c r="C40" s="8" t="s">
        <v>115</v>
      </c>
      <c r="D40" s="9" t="s">
        <v>116</v>
      </c>
      <c r="E40" s="10" t="s">
        <v>117</v>
      </c>
    </row>
    <row r="41" spans="1:5" ht="27.6" x14ac:dyDescent="0.25">
      <c r="A41" s="18"/>
      <c r="B41" s="8">
        <f t="shared" si="2"/>
        <v>7</v>
      </c>
      <c r="C41" s="8" t="s">
        <v>46</v>
      </c>
      <c r="D41" s="9" t="s">
        <v>19</v>
      </c>
      <c r="E41" s="10" t="s">
        <v>100</v>
      </c>
    </row>
    <row r="42" spans="1:5" x14ac:dyDescent="0.25">
      <c r="A42" s="18"/>
      <c r="B42" s="8">
        <f t="shared" si="2"/>
        <v>8</v>
      </c>
      <c r="C42" s="8" t="s">
        <v>48</v>
      </c>
      <c r="D42" s="8" t="s">
        <v>40</v>
      </c>
      <c r="E42" s="7" t="s">
        <v>98</v>
      </c>
    </row>
    <row r="43" spans="1:5" ht="27.6" x14ac:dyDescent="0.25">
      <c r="A43" s="18"/>
      <c r="B43" s="8">
        <f t="shared" si="2"/>
        <v>9</v>
      </c>
      <c r="C43" s="8" t="s">
        <v>51</v>
      </c>
      <c r="D43" s="9" t="s">
        <v>24</v>
      </c>
      <c r="E43" s="10" t="s">
        <v>101</v>
      </c>
    </row>
    <row r="44" spans="1:5" ht="27.6" x14ac:dyDescent="0.25">
      <c r="A44" s="18"/>
      <c r="B44" s="8">
        <f t="shared" si="2"/>
        <v>10</v>
      </c>
      <c r="C44" s="8" t="s">
        <v>108</v>
      </c>
      <c r="D44" s="9" t="s">
        <v>109</v>
      </c>
      <c r="E44" s="10" t="s">
        <v>110</v>
      </c>
    </row>
    <row r="45" spans="1:5" ht="27.6" x14ac:dyDescent="0.25">
      <c r="A45" s="18"/>
      <c r="B45" s="8">
        <f t="shared" si="2"/>
        <v>11</v>
      </c>
      <c r="C45" s="8" t="s">
        <v>79</v>
      </c>
      <c r="D45" s="9" t="s">
        <v>95</v>
      </c>
      <c r="E45" s="10" t="s">
        <v>98</v>
      </c>
    </row>
    <row r="46" spans="1:5" x14ac:dyDescent="0.25">
      <c r="A46" s="18"/>
      <c r="B46" s="8">
        <f t="shared" si="2"/>
        <v>12</v>
      </c>
      <c r="C46" s="8" t="s">
        <v>57</v>
      </c>
      <c r="D46" s="8" t="s">
        <v>43</v>
      </c>
      <c r="E46" s="7" t="s">
        <v>103</v>
      </c>
    </row>
    <row r="47" spans="1:5" x14ac:dyDescent="0.25">
      <c r="A47" s="18"/>
      <c r="B47" s="8">
        <f t="shared" si="2"/>
        <v>13</v>
      </c>
      <c r="C47" s="8" t="s">
        <v>92</v>
      </c>
      <c r="D47" s="8" t="s">
        <v>23</v>
      </c>
      <c r="E47" s="7" t="s">
        <v>100</v>
      </c>
    </row>
    <row r="48" spans="1:5" x14ac:dyDescent="0.25">
      <c r="A48" s="18"/>
      <c r="B48" s="8">
        <f t="shared" si="2"/>
        <v>14</v>
      </c>
      <c r="C48" s="8" t="s">
        <v>107</v>
      </c>
      <c r="D48" s="8" t="s">
        <v>106</v>
      </c>
      <c r="E48" s="7" t="s">
        <v>100</v>
      </c>
    </row>
    <row r="49" spans="1:5" ht="27.6" x14ac:dyDescent="0.25">
      <c r="A49" s="18"/>
      <c r="B49" s="8">
        <f t="shared" si="2"/>
        <v>15</v>
      </c>
      <c r="C49" s="8" t="s">
        <v>105</v>
      </c>
      <c r="D49" s="9" t="s">
        <v>104</v>
      </c>
      <c r="E49" s="10" t="s">
        <v>101</v>
      </c>
    </row>
    <row r="50" spans="1:5" x14ac:dyDescent="0.25">
      <c r="A50" s="18"/>
      <c r="B50" s="8">
        <f t="shared" si="2"/>
        <v>16</v>
      </c>
      <c r="C50" s="8" t="s">
        <v>58</v>
      </c>
      <c r="D50" s="8" t="s">
        <v>93</v>
      </c>
      <c r="E50" s="7" t="s">
        <v>97</v>
      </c>
    </row>
    <row r="51" spans="1:5" x14ac:dyDescent="0.25">
      <c r="A51" s="18"/>
      <c r="B51" s="8">
        <f>ROW()-34</f>
        <v>17</v>
      </c>
      <c r="C51" s="8" t="s">
        <v>94</v>
      </c>
      <c r="D51" s="8" t="s">
        <v>93</v>
      </c>
      <c r="E51" s="7" t="s">
        <v>97</v>
      </c>
    </row>
    <row r="52" spans="1:5" x14ac:dyDescent="0.25">
      <c r="A52" s="18"/>
      <c r="B52" s="8">
        <f t="shared" si="2"/>
        <v>18</v>
      </c>
      <c r="C52" s="8" t="s">
        <v>49</v>
      </c>
      <c r="D52" s="8" t="s">
        <v>41</v>
      </c>
      <c r="E52" s="7" t="s">
        <v>99</v>
      </c>
    </row>
    <row r="53" spans="1:5" x14ac:dyDescent="0.25">
      <c r="A53" s="19"/>
      <c r="B53" s="8">
        <f t="shared" si="2"/>
        <v>19</v>
      </c>
      <c r="C53" s="8" t="s">
        <v>120</v>
      </c>
      <c r="D53" s="9" t="s">
        <v>118</v>
      </c>
      <c r="E53" s="10" t="s">
        <v>119</v>
      </c>
    </row>
    <row r="54" spans="1:5" x14ac:dyDescent="0.25">
      <c r="A54" s="16" t="s">
        <v>28</v>
      </c>
      <c r="B54" s="8">
        <f>ROW()-53</f>
        <v>1</v>
      </c>
      <c r="C54" s="8" t="s">
        <v>18</v>
      </c>
      <c r="D54" s="8" t="s">
        <v>17</v>
      </c>
      <c r="E54" s="7"/>
    </row>
    <row r="55" spans="1:5" ht="27.6" x14ac:dyDescent="0.25">
      <c r="A55" s="16"/>
      <c r="B55" s="8">
        <f t="shared" ref="B55:B64" si="3">ROW()-53</f>
        <v>2</v>
      </c>
      <c r="C55" s="8" t="s">
        <v>54</v>
      </c>
      <c r="D55" s="9" t="s">
        <v>22</v>
      </c>
      <c r="E55" s="7"/>
    </row>
    <row r="56" spans="1:5" x14ac:dyDescent="0.25">
      <c r="A56" s="16"/>
      <c r="B56" s="8">
        <f t="shared" si="3"/>
        <v>3</v>
      </c>
      <c r="C56" s="8" t="s">
        <v>53</v>
      </c>
      <c r="D56" s="8" t="s">
        <v>20</v>
      </c>
      <c r="E56" s="7"/>
    </row>
    <row r="57" spans="1:5" x14ac:dyDescent="0.25">
      <c r="A57" s="16"/>
      <c r="B57" s="8">
        <f t="shared" si="3"/>
        <v>4</v>
      </c>
      <c r="C57" s="8" t="s">
        <v>55</v>
      </c>
      <c r="D57" s="8" t="s">
        <v>35</v>
      </c>
      <c r="E57" s="7"/>
    </row>
    <row r="58" spans="1:5" x14ac:dyDescent="0.25">
      <c r="A58" s="16"/>
      <c r="B58" s="8">
        <f t="shared" si="3"/>
        <v>5</v>
      </c>
      <c r="C58" s="8" t="s">
        <v>111</v>
      </c>
      <c r="D58" s="8" t="s">
        <v>112</v>
      </c>
      <c r="E58" s="7"/>
    </row>
    <row r="59" spans="1:5" ht="27.6" x14ac:dyDescent="0.25">
      <c r="A59" s="16"/>
      <c r="B59" s="8">
        <f t="shared" si="3"/>
        <v>6</v>
      </c>
      <c r="C59" s="8" t="s">
        <v>113</v>
      </c>
      <c r="D59" s="9" t="s">
        <v>114</v>
      </c>
      <c r="E59" s="7"/>
    </row>
    <row r="60" spans="1:5" x14ac:dyDescent="0.25">
      <c r="A60" s="16"/>
      <c r="B60" s="8">
        <f t="shared" si="3"/>
        <v>7</v>
      </c>
      <c r="C60" s="8" t="s">
        <v>167</v>
      </c>
      <c r="D60" s="8" t="s">
        <v>168</v>
      </c>
      <c r="E60" s="7" t="s">
        <v>169</v>
      </c>
    </row>
    <row r="61" spans="1:5" x14ac:dyDescent="0.25">
      <c r="A61" s="16"/>
      <c r="B61" s="8">
        <f t="shared" si="3"/>
        <v>8</v>
      </c>
      <c r="C61" s="8" t="s">
        <v>170</v>
      </c>
      <c r="D61" s="8" t="s">
        <v>171</v>
      </c>
      <c r="E61" s="7" t="s">
        <v>169</v>
      </c>
    </row>
    <row r="62" spans="1:5" x14ac:dyDescent="0.25">
      <c r="A62" s="16"/>
      <c r="B62" s="8">
        <f t="shared" si="3"/>
        <v>9</v>
      </c>
      <c r="C62" s="8" t="s">
        <v>173</v>
      </c>
      <c r="D62" s="8" t="s">
        <v>172</v>
      </c>
      <c r="E62" s="7"/>
    </row>
    <row r="63" spans="1:5" ht="27.6" x14ac:dyDescent="0.25">
      <c r="A63" s="16"/>
      <c r="B63" s="8">
        <f t="shared" si="3"/>
        <v>10</v>
      </c>
      <c r="C63" s="8" t="s">
        <v>174</v>
      </c>
      <c r="D63" s="9" t="s">
        <v>175</v>
      </c>
      <c r="E63" s="10" t="s">
        <v>176</v>
      </c>
    </row>
    <row r="64" spans="1:5" x14ac:dyDescent="0.25">
      <c r="A64" s="16"/>
      <c r="B64" s="8">
        <f t="shared" si="3"/>
        <v>11</v>
      </c>
      <c r="C64" s="8" t="s">
        <v>180</v>
      </c>
      <c r="D64" s="9" t="s">
        <v>179</v>
      </c>
      <c r="E64" s="10"/>
    </row>
  </sheetData>
  <mergeCells count="4">
    <mergeCell ref="A2:A15"/>
    <mergeCell ref="A35:A53"/>
    <mergeCell ref="A54:A64"/>
    <mergeCell ref="A16:A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BEE8-D967-41CF-97EC-892EB9B530DA}">
  <dimension ref="A2:D15"/>
  <sheetViews>
    <sheetView workbookViewId="0">
      <selection activeCell="F10" sqref="F10"/>
    </sheetView>
  </sheetViews>
  <sheetFormatPr defaultRowHeight="13.8" x14ac:dyDescent="0.25"/>
  <cols>
    <col min="2" max="2" width="14.88671875" customWidth="1"/>
    <col min="3" max="3" width="67" customWidth="1"/>
    <col min="4" max="4" width="10.44140625" customWidth="1"/>
  </cols>
  <sheetData>
    <row r="2" spans="1:4" x14ac:dyDescent="0.25">
      <c r="A2">
        <v>1</v>
      </c>
      <c r="B2" t="s">
        <v>181</v>
      </c>
      <c r="C2" t="s">
        <v>182</v>
      </c>
      <c r="D2" t="s">
        <v>183</v>
      </c>
    </row>
    <row r="3" spans="1:4" x14ac:dyDescent="0.25">
      <c r="A3">
        <v>2</v>
      </c>
      <c r="B3" t="s">
        <v>184</v>
      </c>
      <c r="C3" t="s">
        <v>185</v>
      </c>
      <c r="D3" t="s">
        <v>186</v>
      </c>
    </row>
    <row r="4" spans="1:4" ht="41.4" x14ac:dyDescent="0.25">
      <c r="A4">
        <v>3</v>
      </c>
      <c r="B4" t="s">
        <v>187</v>
      </c>
      <c r="C4" s="15" t="s">
        <v>188</v>
      </c>
      <c r="D4" t="s">
        <v>186</v>
      </c>
    </row>
    <row r="5" spans="1:4" ht="41.4" x14ac:dyDescent="0.25">
      <c r="A5">
        <v>4</v>
      </c>
      <c r="B5" t="s">
        <v>189</v>
      </c>
      <c r="C5" s="15" t="s">
        <v>190</v>
      </c>
      <c r="D5" t="s">
        <v>186</v>
      </c>
    </row>
    <row r="6" spans="1:4" ht="41.4" x14ac:dyDescent="0.25">
      <c r="A6">
        <v>5</v>
      </c>
      <c r="B6" t="s">
        <v>191</v>
      </c>
      <c r="C6" s="15" t="s">
        <v>188</v>
      </c>
      <c r="D6" t="s">
        <v>192</v>
      </c>
    </row>
    <row r="7" spans="1:4" ht="41.4" x14ac:dyDescent="0.25">
      <c r="A7">
        <v>6</v>
      </c>
      <c r="B7" t="s">
        <v>193</v>
      </c>
      <c r="C7" s="15" t="s">
        <v>194</v>
      </c>
      <c r="D7" t="s">
        <v>192</v>
      </c>
    </row>
    <row r="8" spans="1:4" ht="41.4" x14ac:dyDescent="0.25">
      <c r="A8">
        <v>7</v>
      </c>
      <c r="B8" t="s">
        <v>195</v>
      </c>
      <c r="C8" s="15" t="s">
        <v>196</v>
      </c>
      <c r="D8" t="s">
        <v>186</v>
      </c>
    </row>
    <row r="9" spans="1:4" ht="55.2" x14ac:dyDescent="0.25">
      <c r="A9">
        <v>8</v>
      </c>
      <c r="B9" t="s">
        <v>197</v>
      </c>
      <c r="C9" s="15" t="s">
        <v>198</v>
      </c>
      <c r="D9" t="s">
        <v>192</v>
      </c>
    </row>
    <row r="10" spans="1:4" ht="27.6" x14ac:dyDescent="0.25">
      <c r="A10">
        <v>9</v>
      </c>
      <c r="B10" t="s">
        <v>199</v>
      </c>
      <c r="C10" s="15" t="s">
        <v>200</v>
      </c>
      <c r="D10" t="s">
        <v>186</v>
      </c>
    </row>
    <row r="11" spans="1:4" ht="41.4" x14ac:dyDescent="0.25">
      <c r="A11">
        <v>10</v>
      </c>
      <c r="B11" t="s">
        <v>201</v>
      </c>
      <c r="C11" s="15" t="s">
        <v>202</v>
      </c>
      <c r="D11" t="s">
        <v>192</v>
      </c>
    </row>
    <row r="12" spans="1:4" x14ac:dyDescent="0.25">
      <c r="A12">
        <v>11</v>
      </c>
      <c r="B12" t="s">
        <v>203</v>
      </c>
      <c r="C12" t="s">
        <v>204</v>
      </c>
      <c r="D12" t="s">
        <v>192</v>
      </c>
    </row>
    <row r="13" spans="1:4" ht="27.6" x14ac:dyDescent="0.25">
      <c r="A13">
        <v>12</v>
      </c>
      <c r="B13" t="s">
        <v>205</v>
      </c>
      <c r="C13" s="15" t="s">
        <v>206</v>
      </c>
    </row>
    <row r="14" spans="1:4" x14ac:dyDescent="0.25">
      <c r="A14">
        <v>13</v>
      </c>
      <c r="B14" t="s">
        <v>207</v>
      </c>
      <c r="C14" t="s">
        <v>208</v>
      </c>
      <c r="D14" t="s">
        <v>209</v>
      </c>
    </row>
    <row r="15" spans="1:4" ht="27.6" x14ac:dyDescent="0.25">
      <c r="A15">
        <v>14</v>
      </c>
      <c r="B15" t="s">
        <v>210</v>
      </c>
      <c r="C15" s="15" t="s">
        <v>211</v>
      </c>
      <c r="D15" t="s">
        <v>212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2144-64E6-4A76-BAF2-A2B5DD70CFD3}">
  <dimension ref="A1:F36"/>
  <sheetViews>
    <sheetView tabSelected="1" topLeftCell="A22" workbookViewId="0">
      <selection activeCell="C36" sqref="C36"/>
    </sheetView>
  </sheetViews>
  <sheetFormatPr defaultRowHeight="13.8" x14ac:dyDescent="0.25"/>
  <cols>
    <col min="1" max="1" width="8.88671875" style="7"/>
    <col min="2" max="2" width="51.77734375" style="7" customWidth="1"/>
    <col min="3" max="3" width="8.88671875" style="7"/>
    <col min="4" max="4" width="80.21875" style="7" customWidth="1"/>
    <col min="5" max="5" width="21" style="7" customWidth="1"/>
    <col min="6" max="6" width="8.88671875" style="7"/>
  </cols>
  <sheetData>
    <row r="1" spans="1:6" x14ac:dyDescent="0.25">
      <c r="A1" s="7" t="s">
        <v>213</v>
      </c>
      <c r="B1" s="7" t="s">
        <v>214</v>
      </c>
      <c r="C1" s="7" t="s">
        <v>215</v>
      </c>
      <c r="D1" s="7" t="s">
        <v>216</v>
      </c>
      <c r="E1" s="7" t="s">
        <v>217</v>
      </c>
      <c r="F1" s="7" t="s">
        <v>218</v>
      </c>
    </row>
    <row r="2" spans="1:6" x14ac:dyDescent="0.25">
      <c r="A2" s="20">
        <v>1</v>
      </c>
      <c r="B2" s="20" t="s">
        <v>273</v>
      </c>
      <c r="C2" s="20" t="s">
        <v>219</v>
      </c>
      <c r="D2" s="21" t="s">
        <v>274</v>
      </c>
      <c r="E2" s="20" t="s">
        <v>276</v>
      </c>
      <c r="F2" s="20" t="s">
        <v>220</v>
      </c>
    </row>
    <row r="3" spans="1:6" x14ac:dyDescent="0.25">
      <c r="A3" s="20">
        <v>2</v>
      </c>
      <c r="B3" s="20" t="s">
        <v>221</v>
      </c>
      <c r="C3" s="20"/>
      <c r="D3" s="21" t="s">
        <v>275</v>
      </c>
      <c r="E3" s="20" t="s">
        <v>277</v>
      </c>
      <c r="F3" s="20" t="s">
        <v>220</v>
      </c>
    </row>
    <row r="4" spans="1:6" x14ac:dyDescent="0.25">
      <c r="A4" s="20">
        <v>3</v>
      </c>
      <c r="B4" s="20" t="s">
        <v>222</v>
      </c>
      <c r="C4" s="20" t="s">
        <v>219</v>
      </c>
      <c r="D4" s="20" t="s">
        <v>223</v>
      </c>
      <c r="E4" s="20" t="s">
        <v>278</v>
      </c>
      <c r="F4" s="20" t="s">
        <v>220</v>
      </c>
    </row>
    <row r="5" spans="1:6" x14ac:dyDescent="0.25">
      <c r="A5" s="20">
        <v>4</v>
      </c>
      <c r="B5" s="20" t="s">
        <v>280</v>
      </c>
      <c r="C5" s="20" t="s">
        <v>219</v>
      </c>
      <c r="D5" s="20" t="s">
        <v>224</v>
      </c>
      <c r="E5" s="20" t="s">
        <v>279</v>
      </c>
      <c r="F5" s="20" t="s">
        <v>220</v>
      </c>
    </row>
    <row r="6" spans="1:6" x14ac:dyDescent="0.25">
      <c r="A6" s="20">
        <v>5</v>
      </c>
      <c r="B6" s="20" t="s">
        <v>282</v>
      </c>
      <c r="C6" s="20" t="s">
        <v>219</v>
      </c>
      <c r="D6" s="20" t="s">
        <v>225</v>
      </c>
      <c r="E6" s="20" t="s">
        <v>281</v>
      </c>
      <c r="F6" s="20" t="s">
        <v>220</v>
      </c>
    </row>
    <row r="7" spans="1:6" x14ac:dyDescent="0.25">
      <c r="A7" s="20">
        <v>6</v>
      </c>
      <c r="B7" s="20" t="s">
        <v>226</v>
      </c>
      <c r="C7" s="20" t="s">
        <v>219</v>
      </c>
      <c r="D7" s="20" t="s">
        <v>227</v>
      </c>
      <c r="E7" s="20" t="s">
        <v>283</v>
      </c>
      <c r="F7" s="20" t="s">
        <v>220</v>
      </c>
    </row>
    <row r="8" spans="1:6" x14ac:dyDescent="0.25">
      <c r="A8" s="20">
        <v>7</v>
      </c>
      <c r="B8" s="20" t="s">
        <v>285</v>
      </c>
      <c r="C8" s="20" t="s">
        <v>219</v>
      </c>
      <c r="D8" s="20" t="s">
        <v>228</v>
      </c>
      <c r="E8" s="20" t="s">
        <v>284</v>
      </c>
      <c r="F8" s="20" t="s">
        <v>220</v>
      </c>
    </row>
    <row r="9" spans="1:6" x14ac:dyDescent="0.25">
      <c r="A9" s="20">
        <v>8</v>
      </c>
      <c r="B9" s="20" t="s">
        <v>287</v>
      </c>
      <c r="C9" s="20" t="s">
        <v>219</v>
      </c>
      <c r="D9" s="20" t="s">
        <v>229</v>
      </c>
      <c r="E9" s="20" t="s">
        <v>286</v>
      </c>
      <c r="F9" s="20" t="s">
        <v>220</v>
      </c>
    </row>
    <row r="10" spans="1:6" x14ac:dyDescent="0.25">
      <c r="A10" s="20">
        <v>9</v>
      </c>
      <c r="B10" s="20" t="s">
        <v>230</v>
      </c>
      <c r="C10" s="20" t="s">
        <v>219</v>
      </c>
      <c r="D10" s="20" t="s">
        <v>231</v>
      </c>
      <c r="E10" s="20" t="s">
        <v>288</v>
      </c>
      <c r="F10" s="20" t="s">
        <v>220</v>
      </c>
    </row>
    <row r="11" spans="1:6" x14ac:dyDescent="0.25">
      <c r="A11" s="20">
        <v>10</v>
      </c>
      <c r="B11" s="20" t="s">
        <v>290</v>
      </c>
      <c r="C11" s="20" t="s">
        <v>219</v>
      </c>
      <c r="D11" s="20" t="s">
        <v>232</v>
      </c>
      <c r="E11" s="20" t="s">
        <v>289</v>
      </c>
      <c r="F11" s="20" t="s">
        <v>220</v>
      </c>
    </row>
    <row r="12" spans="1:6" x14ac:dyDescent="0.25">
      <c r="A12" s="20">
        <v>11</v>
      </c>
      <c r="B12" s="20" t="s">
        <v>292</v>
      </c>
      <c r="C12" s="20" t="s">
        <v>219</v>
      </c>
      <c r="D12" s="20" t="s">
        <v>233</v>
      </c>
      <c r="E12" s="20" t="s">
        <v>291</v>
      </c>
      <c r="F12" s="20" t="s">
        <v>220</v>
      </c>
    </row>
    <row r="13" spans="1:6" x14ac:dyDescent="0.25">
      <c r="A13" s="20">
        <v>12</v>
      </c>
      <c r="B13" s="20" t="s">
        <v>294</v>
      </c>
      <c r="C13" s="20" t="s">
        <v>219</v>
      </c>
      <c r="D13" s="20" t="s">
        <v>234</v>
      </c>
      <c r="E13" s="20" t="s">
        <v>293</v>
      </c>
      <c r="F13" s="20" t="s">
        <v>220</v>
      </c>
    </row>
    <row r="14" spans="1:6" x14ac:dyDescent="0.25">
      <c r="A14" s="20">
        <v>13</v>
      </c>
      <c r="B14" s="20" t="s">
        <v>296</v>
      </c>
      <c r="C14" s="20" t="s">
        <v>219</v>
      </c>
      <c r="D14" s="20" t="s">
        <v>235</v>
      </c>
      <c r="E14" s="20" t="s">
        <v>295</v>
      </c>
      <c r="F14" s="20" t="s">
        <v>220</v>
      </c>
    </row>
    <row r="15" spans="1:6" x14ac:dyDescent="0.25">
      <c r="A15" s="20">
        <v>14</v>
      </c>
      <c r="B15" s="20" t="s">
        <v>236</v>
      </c>
      <c r="C15" s="20"/>
      <c r="D15" s="20" t="s">
        <v>237</v>
      </c>
      <c r="E15" s="20" t="s">
        <v>297</v>
      </c>
      <c r="F15" s="20" t="s">
        <v>220</v>
      </c>
    </row>
    <row r="16" spans="1:6" x14ac:dyDescent="0.25">
      <c r="A16" s="7">
        <v>15</v>
      </c>
      <c r="B16" s="7" t="s">
        <v>238</v>
      </c>
      <c r="C16" s="20" t="s">
        <v>219</v>
      </c>
      <c r="D16" s="7" t="s">
        <v>239</v>
      </c>
      <c r="E16" s="7" t="s">
        <v>298</v>
      </c>
      <c r="F16" s="7" t="s">
        <v>220</v>
      </c>
    </row>
    <row r="17" spans="1:6" x14ac:dyDescent="0.25">
      <c r="A17" s="7">
        <v>16</v>
      </c>
      <c r="B17" s="7" t="s">
        <v>240</v>
      </c>
      <c r="C17" s="20" t="s">
        <v>219</v>
      </c>
      <c r="D17" s="7" t="s">
        <v>241</v>
      </c>
      <c r="E17" s="7" t="s">
        <v>299</v>
      </c>
      <c r="F17" s="7" t="s">
        <v>242</v>
      </c>
    </row>
    <row r="18" spans="1:6" x14ac:dyDescent="0.25">
      <c r="A18" s="7">
        <v>17</v>
      </c>
      <c r="B18" s="7" t="s">
        <v>243</v>
      </c>
      <c r="C18" s="20" t="s">
        <v>219</v>
      </c>
      <c r="D18" s="7" t="s">
        <v>244</v>
      </c>
      <c r="E18" s="7" t="s">
        <v>300</v>
      </c>
      <c r="F18" s="7" t="s">
        <v>242</v>
      </c>
    </row>
    <row r="19" spans="1:6" x14ac:dyDescent="0.25">
      <c r="A19" s="7">
        <v>18</v>
      </c>
      <c r="B19" s="7" t="s">
        <v>245</v>
      </c>
      <c r="C19" s="20"/>
      <c r="D19" s="7" t="s">
        <v>246</v>
      </c>
      <c r="E19" s="7" t="s">
        <v>301</v>
      </c>
      <c r="F19" s="7" t="s">
        <v>242</v>
      </c>
    </row>
    <row r="20" spans="1:6" x14ac:dyDescent="0.25">
      <c r="A20" s="7">
        <v>19</v>
      </c>
      <c r="B20" s="7" t="s">
        <v>247</v>
      </c>
      <c r="C20" s="20"/>
      <c r="D20" s="7" t="s">
        <v>248</v>
      </c>
      <c r="E20" s="7" t="s">
        <v>302</v>
      </c>
      <c r="F20" s="7" t="s">
        <v>242</v>
      </c>
    </row>
    <row r="21" spans="1:6" x14ac:dyDescent="0.25">
      <c r="A21" s="7">
        <v>20</v>
      </c>
      <c r="B21" s="7" t="s">
        <v>249</v>
      </c>
      <c r="C21" s="20"/>
      <c r="D21" s="7" t="s">
        <v>250</v>
      </c>
      <c r="E21" s="7" t="s">
        <v>303</v>
      </c>
      <c r="F21" s="7" t="s">
        <v>242</v>
      </c>
    </row>
    <row r="22" spans="1:6" x14ac:dyDescent="0.25">
      <c r="A22" s="7">
        <v>21</v>
      </c>
      <c r="B22" s="7" t="s">
        <v>251</v>
      </c>
      <c r="C22" s="20"/>
      <c r="D22" s="7" t="s">
        <v>252</v>
      </c>
      <c r="E22" s="7" t="s">
        <v>304</v>
      </c>
      <c r="F22" s="7" t="s">
        <v>242</v>
      </c>
    </row>
    <row r="23" spans="1:6" x14ac:dyDescent="0.25">
      <c r="A23" s="7">
        <v>22</v>
      </c>
      <c r="B23" s="7" t="s">
        <v>253</v>
      </c>
      <c r="C23" s="20" t="s">
        <v>309</v>
      </c>
      <c r="D23" s="7" t="s">
        <v>254</v>
      </c>
      <c r="E23" s="7" t="s">
        <v>305</v>
      </c>
      <c r="F23" s="7" t="s">
        <v>242</v>
      </c>
    </row>
    <row r="24" spans="1:6" x14ac:dyDescent="0.25">
      <c r="A24" s="7">
        <v>23</v>
      </c>
      <c r="B24" s="7" t="s">
        <v>255</v>
      </c>
      <c r="C24" s="20"/>
      <c r="D24" s="7" t="s">
        <v>256</v>
      </c>
      <c r="E24" s="7" t="s">
        <v>306</v>
      </c>
      <c r="F24" s="7" t="s">
        <v>242</v>
      </c>
    </row>
    <row r="25" spans="1:6" x14ac:dyDescent="0.25">
      <c r="A25" s="7">
        <v>24</v>
      </c>
      <c r="B25" s="7" t="s">
        <v>257</v>
      </c>
      <c r="C25" s="20"/>
      <c r="D25" s="7" t="s">
        <v>258</v>
      </c>
      <c r="E25" s="7" t="s">
        <v>307</v>
      </c>
      <c r="F25" s="7" t="s">
        <v>242</v>
      </c>
    </row>
    <row r="26" spans="1:6" x14ac:dyDescent="0.25">
      <c r="A26" s="7">
        <v>25</v>
      </c>
      <c r="B26" s="7" t="s">
        <v>310</v>
      </c>
      <c r="C26" s="20" t="s">
        <v>309</v>
      </c>
      <c r="D26" s="7" t="s">
        <v>259</v>
      </c>
      <c r="E26" s="7" t="s">
        <v>308</v>
      </c>
      <c r="F26" s="7" t="s">
        <v>242</v>
      </c>
    </row>
    <row r="27" spans="1:6" x14ac:dyDescent="0.25">
      <c r="A27" s="7">
        <v>26</v>
      </c>
      <c r="B27" s="7" t="s">
        <v>312</v>
      </c>
      <c r="C27" s="20" t="s">
        <v>309</v>
      </c>
      <c r="D27" s="7" t="s">
        <v>260</v>
      </c>
      <c r="E27" s="7" t="s">
        <v>311</v>
      </c>
      <c r="F27" s="7" t="s">
        <v>242</v>
      </c>
    </row>
    <row r="28" spans="1:6" x14ac:dyDescent="0.25">
      <c r="A28" s="7">
        <v>27</v>
      </c>
      <c r="B28" s="7" t="s">
        <v>314</v>
      </c>
      <c r="C28" s="20" t="s">
        <v>309</v>
      </c>
      <c r="D28" s="7" t="s">
        <v>261</v>
      </c>
      <c r="E28" s="7" t="s">
        <v>313</v>
      </c>
      <c r="F28" s="7" t="s">
        <v>242</v>
      </c>
    </row>
    <row r="29" spans="1:6" x14ac:dyDescent="0.25">
      <c r="A29" s="7">
        <v>28</v>
      </c>
      <c r="B29" s="7" t="s">
        <v>262</v>
      </c>
      <c r="C29" s="20"/>
      <c r="D29" s="7" t="s">
        <v>263</v>
      </c>
      <c r="E29" s="7" t="s">
        <v>315</v>
      </c>
      <c r="F29" s="7" t="s">
        <v>242</v>
      </c>
    </row>
    <row r="30" spans="1:6" x14ac:dyDescent="0.25">
      <c r="A30" s="7">
        <v>29</v>
      </c>
      <c r="B30" s="7" t="s">
        <v>317</v>
      </c>
      <c r="C30" s="20" t="s">
        <v>309</v>
      </c>
      <c r="D30" s="7" t="s">
        <v>264</v>
      </c>
      <c r="E30" s="7" t="s">
        <v>316</v>
      </c>
      <c r="F30" s="7" t="s">
        <v>242</v>
      </c>
    </row>
    <row r="31" spans="1:6" x14ac:dyDescent="0.25">
      <c r="A31" s="7">
        <v>30</v>
      </c>
      <c r="B31" s="7" t="s">
        <v>319</v>
      </c>
      <c r="C31" s="20" t="s">
        <v>309</v>
      </c>
      <c r="D31" s="7" t="s">
        <v>265</v>
      </c>
      <c r="E31" s="7" t="s">
        <v>318</v>
      </c>
      <c r="F31" s="7" t="s">
        <v>242</v>
      </c>
    </row>
    <row r="32" spans="1:6" x14ac:dyDescent="0.25">
      <c r="A32" s="7">
        <v>31</v>
      </c>
      <c r="B32" s="7" t="s">
        <v>321</v>
      </c>
      <c r="C32" s="20" t="s">
        <v>309</v>
      </c>
      <c r="D32" s="7" t="s">
        <v>266</v>
      </c>
      <c r="E32" s="7" t="s">
        <v>320</v>
      </c>
      <c r="F32" s="7" t="s">
        <v>242</v>
      </c>
    </row>
    <row r="33" spans="1:6" x14ac:dyDescent="0.25">
      <c r="A33" s="7">
        <v>32</v>
      </c>
      <c r="B33" s="7" t="s">
        <v>323</v>
      </c>
      <c r="C33" s="20" t="s">
        <v>309</v>
      </c>
      <c r="D33" s="7" t="s">
        <v>267</v>
      </c>
      <c r="E33" s="7" t="s">
        <v>322</v>
      </c>
      <c r="F33" s="7" t="s">
        <v>242</v>
      </c>
    </row>
    <row r="34" spans="1:6" x14ac:dyDescent="0.25">
      <c r="A34" s="7">
        <v>33</v>
      </c>
      <c r="B34" s="7" t="s">
        <v>325</v>
      </c>
      <c r="C34" s="20" t="s">
        <v>309</v>
      </c>
      <c r="D34" s="7" t="s">
        <v>268</v>
      </c>
      <c r="E34" s="7" t="s">
        <v>324</v>
      </c>
      <c r="F34" s="7" t="s">
        <v>242</v>
      </c>
    </row>
    <row r="35" spans="1:6" x14ac:dyDescent="0.25">
      <c r="A35" s="7">
        <v>34</v>
      </c>
      <c r="B35" s="7" t="s">
        <v>269</v>
      </c>
      <c r="D35" s="7" t="s">
        <v>270</v>
      </c>
      <c r="E35" s="7" t="s">
        <v>326</v>
      </c>
      <c r="F35" s="7" t="s">
        <v>242</v>
      </c>
    </row>
    <row r="36" spans="1:6" x14ac:dyDescent="0.25">
      <c r="A36" s="7">
        <v>35</v>
      </c>
      <c r="B36" s="7" t="s">
        <v>271</v>
      </c>
      <c r="C36" s="20" t="s">
        <v>309</v>
      </c>
      <c r="D36" s="7" t="s">
        <v>272</v>
      </c>
      <c r="E36" s="7" t="s">
        <v>327</v>
      </c>
      <c r="F36" s="7" t="s">
        <v>242</v>
      </c>
    </row>
  </sheetData>
  <phoneticPr fontId="1" type="noConversion"/>
  <hyperlinks>
    <hyperlink ref="D2" r:id="rId1" xr:uid="{8ED9D450-D776-46C2-B222-E6D672061374}"/>
    <hyperlink ref="D3" r:id="rId2" xr:uid="{4524CBBA-B680-448E-B6B7-0AB8B1CAFAB5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opLeftCell="A31" zoomScaleNormal="100" workbookViewId="0">
      <selection activeCell="D19" sqref="D19"/>
    </sheetView>
  </sheetViews>
  <sheetFormatPr defaultColWidth="9" defaultRowHeight="13.8" x14ac:dyDescent="0.25"/>
  <cols>
    <col min="1" max="1" width="9" style="1"/>
    <col min="2" max="2" width="28.33203125" style="1" customWidth="1"/>
    <col min="3" max="3" width="20.77734375" style="1" customWidth="1"/>
    <col min="4" max="4" width="26.33203125" style="1" customWidth="1"/>
    <col min="5" max="5" width="15.77734375" style="1" customWidth="1"/>
    <col min="6" max="6" width="15.5546875" style="1" customWidth="1"/>
    <col min="7" max="16384" width="9" style="1"/>
  </cols>
  <sheetData>
    <row r="1" spans="1:7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  <c r="F1" s="1" t="s">
        <v>25</v>
      </c>
    </row>
    <row r="2" spans="1:7" ht="49.95" customHeight="1" x14ac:dyDescent="0.25">
      <c r="A2" s="1">
        <v>1</v>
      </c>
      <c r="B2" s="1" t="s">
        <v>3</v>
      </c>
      <c r="C2" s="1" t="s">
        <v>6</v>
      </c>
      <c r="D2" s="3" t="s">
        <v>7</v>
      </c>
      <c r="E2" s="1" t="s">
        <v>12</v>
      </c>
      <c r="F2" s="2" t="s">
        <v>26</v>
      </c>
    </row>
    <row r="3" spans="1:7" ht="49.95" customHeight="1" x14ac:dyDescent="0.25">
      <c r="A3" s="1">
        <v>2</v>
      </c>
      <c r="B3" s="1" t="s">
        <v>33</v>
      </c>
      <c r="C3" s="1" t="s">
        <v>27</v>
      </c>
      <c r="D3" s="3" t="s">
        <v>64</v>
      </c>
      <c r="E3" s="1" t="s">
        <v>12</v>
      </c>
      <c r="F3" s="1" t="s">
        <v>32</v>
      </c>
    </row>
    <row r="4" spans="1:7" ht="49.95" customHeight="1" x14ac:dyDescent="0.25">
      <c r="A4" s="1">
        <v>3</v>
      </c>
      <c r="B4" s="1" t="s">
        <v>8</v>
      </c>
      <c r="C4" s="1" t="s">
        <v>9</v>
      </c>
      <c r="D4" s="3" t="s">
        <v>65</v>
      </c>
      <c r="E4" s="1" t="s">
        <v>12</v>
      </c>
      <c r="F4" s="1" t="s">
        <v>29</v>
      </c>
    </row>
    <row r="5" spans="1:7" ht="49.95" customHeight="1" x14ac:dyDescent="0.25">
      <c r="A5" s="1">
        <v>4</v>
      </c>
      <c r="B5" s="1" t="s">
        <v>10</v>
      </c>
      <c r="C5" s="1" t="s">
        <v>11</v>
      </c>
      <c r="D5" s="3" t="s">
        <v>66</v>
      </c>
      <c r="E5" s="1" t="s">
        <v>12</v>
      </c>
      <c r="F5" s="1" t="s">
        <v>32</v>
      </c>
    </row>
    <row r="6" spans="1:7" ht="49.95" customHeight="1" x14ac:dyDescent="0.25">
      <c r="A6" s="1">
        <v>5</v>
      </c>
      <c r="B6" s="1" t="s">
        <v>36</v>
      </c>
      <c r="C6" s="1" t="s">
        <v>34</v>
      </c>
      <c r="D6" s="3" t="s">
        <v>67</v>
      </c>
      <c r="E6" s="1" t="s">
        <v>12</v>
      </c>
      <c r="F6" s="1" t="s">
        <v>32</v>
      </c>
    </row>
    <row r="7" spans="1:7" ht="49.95" customHeight="1" x14ac:dyDescent="0.25">
      <c r="A7" s="1">
        <v>6</v>
      </c>
      <c r="B7" s="1" t="s">
        <v>13</v>
      </c>
      <c r="C7" s="1" t="s">
        <v>14</v>
      </c>
      <c r="D7" s="3" t="s">
        <v>68</v>
      </c>
      <c r="E7" s="1" t="s">
        <v>12</v>
      </c>
      <c r="F7" s="1" t="s">
        <v>32</v>
      </c>
    </row>
    <row r="8" spans="1:7" ht="49.95" customHeight="1" x14ac:dyDescent="0.25">
      <c r="A8" s="1">
        <v>7</v>
      </c>
      <c r="B8" s="1" t="s">
        <v>15</v>
      </c>
      <c r="C8" s="1" t="s">
        <v>37</v>
      </c>
      <c r="D8" s="3" t="s">
        <v>69</v>
      </c>
      <c r="E8" s="1" t="s">
        <v>12</v>
      </c>
      <c r="F8" s="1" t="s">
        <v>32</v>
      </c>
    </row>
    <row r="9" spans="1:7" ht="49.95" customHeight="1" x14ac:dyDescent="0.25">
      <c r="A9" s="1">
        <v>8</v>
      </c>
      <c r="B9" s="1" t="s">
        <v>16</v>
      </c>
      <c r="C9" s="1" t="s">
        <v>38</v>
      </c>
      <c r="D9" s="3" t="s">
        <v>70</v>
      </c>
      <c r="E9" s="1" t="s">
        <v>12</v>
      </c>
      <c r="F9" s="1" t="s">
        <v>32</v>
      </c>
    </row>
    <row r="10" spans="1:7" ht="49.95" customHeight="1" x14ac:dyDescent="0.25">
      <c r="A10" s="1">
        <v>9</v>
      </c>
      <c r="B10" s="1" t="s">
        <v>17</v>
      </c>
      <c r="C10" s="1" t="s">
        <v>18</v>
      </c>
      <c r="D10" s="3" t="s">
        <v>60</v>
      </c>
      <c r="E10" s="1" t="s">
        <v>12</v>
      </c>
      <c r="F10" s="1" t="s">
        <v>30</v>
      </c>
      <c r="G10" s="4"/>
    </row>
    <row r="11" spans="1:7" ht="49.95" customHeight="1" x14ac:dyDescent="0.25">
      <c r="A11" s="1">
        <v>10</v>
      </c>
      <c r="B11" s="2" t="s">
        <v>19</v>
      </c>
      <c r="C11" s="1" t="s">
        <v>46</v>
      </c>
      <c r="D11" s="3" t="s">
        <v>71</v>
      </c>
      <c r="E11" s="1" t="s">
        <v>12</v>
      </c>
      <c r="F11" s="1" t="s">
        <v>31</v>
      </c>
      <c r="G11" s="4"/>
    </row>
    <row r="12" spans="1:7" ht="49.95" customHeight="1" x14ac:dyDescent="0.25">
      <c r="A12" s="1">
        <v>11</v>
      </c>
      <c r="B12" s="2" t="s">
        <v>39</v>
      </c>
      <c r="C12" s="1" t="s">
        <v>47</v>
      </c>
      <c r="D12" s="3" t="s">
        <v>61</v>
      </c>
      <c r="E12" s="1" t="s">
        <v>12</v>
      </c>
      <c r="F12" s="1" t="s">
        <v>32</v>
      </c>
      <c r="G12" s="4"/>
    </row>
    <row r="13" spans="1:7" ht="49.95" customHeight="1" x14ac:dyDescent="0.25">
      <c r="A13" s="1">
        <v>12</v>
      </c>
      <c r="B13" s="2" t="s">
        <v>40</v>
      </c>
      <c r="C13" s="1" t="s">
        <v>48</v>
      </c>
      <c r="D13" s="3" t="s">
        <v>72</v>
      </c>
      <c r="E13" s="1" t="s">
        <v>12</v>
      </c>
      <c r="F13" s="1" t="s">
        <v>31</v>
      </c>
      <c r="G13" s="4"/>
    </row>
    <row r="14" spans="1:7" ht="49.95" customHeight="1" x14ac:dyDescent="0.25">
      <c r="A14" s="1">
        <v>13</v>
      </c>
      <c r="B14" s="2" t="s">
        <v>41</v>
      </c>
      <c r="C14" s="1" t="s">
        <v>49</v>
      </c>
      <c r="D14" s="3" t="s">
        <v>73</v>
      </c>
      <c r="E14" s="1" t="s">
        <v>12</v>
      </c>
      <c r="F14" s="1" t="s">
        <v>31</v>
      </c>
      <c r="G14" s="4"/>
    </row>
    <row r="15" spans="1:7" ht="49.95" customHeight="1" x14ac:dyDescent="0.25">
      <c r="A15" s="1">
        <v>14</v>
      </c>
      <c r="B15" s="2" t="s">
        <v>23</v>
      </c>
      <c r="C15" s="1" t="s">
        <v>50</v>
      </c>
      <c r="D15" s="3" t="s">
        <v>74</v>
      </c>
      <c r="E15" s="1" t="s">
        <v>12</v>
      </c>
      <c r="F15" s="1" t="s">
        <v>31</v>
      </c>
      <c r="G15" s="4"/>
    </row>
    <row r="16" spans="1:7" ht="49.95" customHeight="1" x14ac:dyDescent="0.25">
      <c r="A16" s="1">
        <v>15</v>
      </c>
      <c r="B16" s="2" t="s">
        <v>24</v>
      </c>
      <c r="C16" s="1" t="s">
        <v>51</v>
      </c>
      <c r="D16" s="3" t="s">
        <v>75</v>
      </c>
      <c r="E16" s="1" t="s">
        <v>12</v>
      </c>
      <c r="F16" s="1" t="s">
        <v>31</v>
      </c>
      <c r="G16" s="4"/>
    </row>
    <row r="17" spans="1:7" ht="49.95" customHeight="1" x14ac:dyDescent="0.25">
      <c r="A17" s="1">
        <v>16</v>
      </c>
      <c r="B17" s="2" t="s">
        <v>21</v>
      </c>
      <c r="C17" s="1" t="s">
        <v>52</v>
      </c>
      <c r="D17" s="3" t="s">
        <v>62</v>
      </c>
      <c r="E17" s="1" t="s">
        <v>12</v>
      </c>
      <c r="F17" s="1" t="s">
        <v>32</v>
      </c>
      <c r="G17" s="4"/>
    </row>
    <row r="18" spans="1:7" ht="49.95" customHeight="1" x14ac:dyDescent="0.25">
      <c r="A18" s="1">
        <v>17</v>
      </c>
      <c r="B18" s="2" t="s">
        <v>20</v>
      </c>
      <c r="C18" s="1" t="s">
        <v>53</v>
      </c>
      <c r="D18" s="3" t="s">
        <v>44</v>
      </c>
      <c r="E18" s="1" t="s">
        <v>12</v>
      </c>
      <c r="F18" s="1" t="s">
        <v>30</v>
      </c>
      <c r="G18" s="4"/>
    </row>
    <row r="19" spans="1:7" ht="49.95" customHeight="1" x14ac:dyDescent="0.25">
      <c r="A19" s="1">
        <v>18</v>
      </c>
      <c r="B19" s="2" t="s">
        <v>22</v>
      </c>
      <c r="C19" s="1" t="s">
        <v>54</v>
      </c>
      <c r="D19" s="14" t="s">
        <v>63</v>
      </c>
      <c r="E19" s="1" t="s">
        <v>12</v>
      </c>
      <c r="F19" s="2" t="s">
        <v>28</v>
      </c>
      <c r="G19" s="4"/>
    </row>
    <row r="20" spans="1:7" ht="49.95" customHeight="1" x14ac:dyDescent="0.25">
      <c r="A20" s="1">
        <v>19</v>
      </c>
      <c r="B20" s="2" t="s">
        <v>35</v>
      </c>
      <c r="C20" s="1" t="s">
        <v>55</v>
      </c>
      <c r="D20" s="3" t="s">
        <v>83</v>
      </c>
      <c r="E20" s="1" t="s">
        <v>12</v>
      </c>
      <c r="F20" s="2" t="s">
        <v>28</v>
      </c>
      <c r="G20" s="4"/>
    </row>
    <row r="21" spans="1:7" ht="49.95" customHeight="1" x14ac:dyDescent="0.25">
      <c r="A21" s="1">
        <v>20</v>
      </c>
      <c r="B21" s="2" t="s">
        <v>59</v>
      </c>
      <c r="C21" s="1" t="s">
        <v>56</v>
      </c>
      <c r="D21" s="3" t="s">
        <v>76</v>
      </c>
      <c r="E21" s="1" t="s">
        <v>12</v>
      </c>
      <c r="F21" s="2" t="s">
        <v>26</v>
      </c>
    </row>
    <row r="22" spans="1:7" ht="49.95" customHeight="1" x14ac:dyDescent="0.25">
      <c r="A22" s="1">
        <v>21</v>
      </c>
      <c r="B22" s="2" t="s">
        <v>43</v>
      </c>
      <c r="C22" s="1" t="s">
        <v>57</v>
      </c>
      <c r="D22" s="3" t="s">
        <v>77</v>
      </c>
      <c r="E22" s="1" t="s">
        <v>12</v>
      </c>
      <c r="F22" s="1" t="s">
        <v>42</v>
      </c>
    </row>
    <row r="23" spans="1:7" ht="52.8" customHeight="1" x14ac:dyDescent="0.25">
      <c r="A23" s="1">
        <v>22</v>
      </c>
      <c r="B23" s="2" t="s">
        <v>45</v>
      </c>
      <c r="C23" s="1" t="s">
        <v>58</v>
      </c>
      <c r="E23" s="1" t="s">
        <v>12</v>
      </c>
      <c r="F23" s="1" t="s">
        <v>42</v>
      </c>
    </row>
    <row r="24" spans="1:7" ht="49.95" customHeight="1" x14ac:dyDescent="0.25">
      <c r="A24" s="1">
        <v>23</v>
      </c>
      <c r="B24" s="1" t="s">
        <v>91</v>
      </c>
      <c r="C24" s="1" t="s">
        <v>78</v>
      </c>
      <c r="E24" s="1" t="s">
        <v>12</v>
      </c>
      <c r="F24" s="1" t="s">
        <v>32</v>
      </c>
    </row>
    <row r="25" spans="1:7" ht="49.95" customHeight="1" x14ac:dyDescent="0.25">
      <c r="A25" s="1">
        <v>24</v>
      </c>
      <c r="B25" s="1" t="s">
        <v>96</v>
      </c>
      <c r="C25" s="1" t="s">
        <v>79</v>
      </c>
      <c r="E25" s="1" t="s">
        <v>12</v>
      </c>
      <c r="F25" s="1" t="s">
        <v>42</v>
      </c>
    </row>
    <row r="26" spans="1:7" ht="49.95" customHeight="1" x14ac:dyDescent="0.25">
      <c r="A26" s="1">
        <v>25</v>
      </c>
      <c r="B26" s="1" t="s">
        <v>80</v>
      </c>
      <c r="C26" s="1" t="s">
        <v>81</v>
      </c>
      <c r="E26" s="1" t="s">
        <v>12</v>
      </c>
      <c r="F26" s="2" t="s">
        <v>26</v>
      </c>
    </row>
    <row r="27" spans="1:7" ht="49.95" customHeight="1" x14ac:dyDescent="0.25">
      <c r="A27" s="1">
        <v>26</v>
      </c>
      <c r="B27" s="1" t="s">
        <v>82</v>
      </c>
      <c r="C27" s="1" t="s">
        <v>85</v>
      </c>
      <c r="E27" s="1" t="s">
        <v>12</v>
      </c>
      <c r="F27" s="2" t="s">
        <v>26</v>
      </c>
    </row>
    <row r="28" spans="1:7" ht="49.95" customHeight="1" x14ac:dyDescent="0.25">
      <c r="A28" s="1">
        <v>27</v>
      </c>
      <c r="B28" s="1" t="s">
        <v>86</v>
      </c>
      <c r="C28" s="6" t="s">
        <v>87</v>
      </c>
      <c r="E28" s="1" t="s">
        <v>12</v>
      </c>
      <c r="F28" s="2" t="s">
        <v>26</v>
      </c>
    </row>
    <row r="29" spans="1:7" ht="49.95" customHeight="1" x14ac:dyDescent="0.25">
      <c r="A29" s="1">
        <v>28</v>
      </c>
      <c r="B29" s="1" t="s">
        <v>88</v>
      </c>
      <c r="C29" s="6" t="s">
        <v>89</v>
      </c>
      <c r="E29" s="1" t="s">
        <v>12</v>
      </c>
      <c r="F29" s="2" t="s">
        <v>26</v>
      </c>
    </row>
    <row r="30" spans="1:7" ht="49.95" customHeight="1" x14ac:dyDescent="0.25">
      <c r="A30" s="1">
        <v>29</v>
      </c>
      <c r="B30" s="1" t="s">
        <v>104</v>
      </c>
      <c r="C30" s="6" t="s">
        <v>105</v>
      </c>
      <c r="E30" s="1" t="s">
        <v>12</v>
      </c>
      <c r="F30" s="1" t="s">
        <v>31</v>
      </c>
    </row>
    <row r="31" spans="1:7" ht="49.95" customHeight="1" x14ac:dyDescent="0.25">
      <c r="A31" s="1">
        <v>30</v>
      </c>
      <c r="B31" s="5" t="s">
        <v>106</v>
      </c>
      <c r="C31" s="6" t="s">
        <v>107</v>
      </c>
      <c r="E31" s="1" t="s">
        <v>12</v>
      </c>
      <c r="F31" s="1" t="s">
        <v>31</v>
      </c>
    </row>
    <row r="32" spans="1:7" ht="49.95" customHeight="1" x14ac:dyDescent="0.25">
      <c r="A32" s="1">
        <v>31</v>
      </c>
    </row>
    <row r="33" spans="1:1" ht="49.95" customHeight="1" x14ac:dyDescent="0.25">
      <c r="A33" s="1">
        <v>32</v>
      </c>
    </row>
  </sheetData>
  <phoneticPr fontId="1" type="noConversion"/>
  <hyperlinks>
    <hyperlink ref="D19" r:id="rId1" xr:uid="{10A34E15-68F3-47E7-8E04-370E7AE7E93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盾构相关标准汇总</vt:lpstr>
      <vt:lpstr>预制混凝土相关国际标准</vt:lpstr>
      <vt:lpstr>土建相关标准</vt:lpstr>
      <vt:lpstr>部分下载地址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刘阿姆斯特朗炮</dc:creator>
  <cp:lastModifiedBy>田艺 徐</cp:lastModifiedBy>
  <dcterms:created xsi:type="dcterms:W3CDTF">2015-06-05T18:19:34Z</dcterms:created>
  <dcterms:modified xsi:type="dcterms:W3CDTF">2026-01-08T13:33:02Z</dcterms:modified>
</cp:coreProperties>
</file>